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tables/table3.xml" ContentType="application/vnd.openxmlformats-officedocument.spreadsheetml.table+xml"/>
  <Override PartName="/xl/slicers/slicer4.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slicers/slicer5.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xml"/>
  <Override PartName="/xl/slicers/slicer6.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8.xml" ContentType="application/vnd.openxmlformats-officedocument.drawing+xml"/>
  <Override PartName="/xl/slicers/slicer7.xml" ContentType="application/vnd.ms-excel.slicer+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1.xml" ContentType="application/vnd.openxmlformats-officedocument.themeOverrid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2.xml" ContentType="application/vnd.openxmlformats-officedocument.themeOverrid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3.xml" ContentType="application/vnd.openxmlformats-officedocument.themeOverrid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slicers/slicer8.xml" ContentType="application/vnd.ms-excel.slicer+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heme/themeOverride5.xml" ContentType="application/vnd.openxmlformats-officedocument.themeOverrid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theme/themeOverride6.xml" ContentType="application/vnd.openxmlformats-officedocument.themeOverrid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0.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C:\Users\Jay Agwunobi\Documents\2019 Job Search\Apps\Osisko Gold Royalty Research\"/>
    </mc:Choice>
  </mc:AlternateContent>
  <xr:revisionPtr revIDLastSave="0" documentId="13_ncr:1_{86A8CE9C-59B9-42CC-A7A7-702319C28BD2}" xr6:coauthVersionLast="45" xr6:coauthVersionMax="45" xr10:uidLastSave="{00000000-0000-0000-0000-000000000000}"/>
  <bookViews>
    <workbookView xWindow="-28920" yWindow="3270" windowWidth="29040" windowHeight="15840" tabRatio="769" xr2:uid="{36396E4A-18F5-4173-BF2C-BE569DFF37A7}"/>
  </bookViews>
  <sheets>
    <sheet name="Instructions" sheetId="26" r:id="rId1"/>
    <sheet name="1) Balance Sheet Metrics" sheetId="27" r:id="rId2"/>
    <sheet name="2) Estimated OPsCashflow" sheetId="31" r:id="rId3"/>
    <sheet name="3) Profitability" sheetId="32" r:id="rId4"/>
    <sheet name="4) Reserve &amp; Risk" sheetId="33" r:id="rId5"/>
    <sheet name="Summary Tables" sheetId="29" state="hidden" r:id="rId6"/>
    <sheet name="Balance Sheet Metrics" sheetId="15" state="hidden" r:id="rId7"/>
    <sheet name="2020 Ops" sheetId="16" state="hidden" r:id="rId8"/>
    <sheet name="Profitability" sheetId="17" state="hidden" r:id="rId9"/>
    <sheet name="Reserve &amp; Risk Rating" sheetId="18" state="hidden" r:id="rId10"/>
    <sheet name="DS Tables" sheetId="14" r:id="rId11"/>
    <sheet name="Production &amp; FA" sheetId="7" r:id="rId12"/>
    <sheet name="Dataset" sheetId="8" r:id="rId13"/>
    <sheet name="Gold Quotes" sheetId="2" r:id="rId14"/>
    <sheet name="Tableau" sheetId="13" r:id="rId15"/>
    <sheet name="Vlookup" sheetId="11" r:id="rId16"/>
    <sheet name="Database (IGNORE)" sheetId="24" r:id="rId17"/>
    <sheet name="Gold NAV &amp; Risk" sheetId="4" state="hidden" r:id="rId18"/>
    <sheet name="Mid Risk" sheetId="19" state="hidden" r:id="rId19"/>
    <sheet name="Small Senior Risk" sheetId="20" state="hidden" r:id="rId20"/>
    <sheet name="Junior Risk" sheetId="21" state="hidden" r:id="rId21"/>
    <sheet name="Pivot" sheetId="12" state="hidden" r:id="rId22"/>
  </sheets>
  <definedNames>
    <definedName name="_xlnm._FilterDatabase" localSheetId="1" hidden="1">'1) Balance Sheet Metrics'!$B$4:$C$35</definedName>
    <definedName name="_xlnm._FilterDatabase" localSheetId="2" hidden="1">'2) Estimated OPsCashflow'!#REF!</definedName>
    <definedName name="_xlnm._FilterDatabase" localSheetId="3" hidden="1">'3) Profitability'!#REF!</definedName>
    <definedName name="_xlnm._FilterDatabase" localSheetId="4" hidden="1">'4) Reserve &amp; Risk'!#REF!</definedName>
    <definedName name="_xlnm._FilterDatabase" localSheetId="5" hidden="1">'Summary Tables'!$N$4:$O$33</definedName>
    <definedName name="_xlnm.Criteria" localSheetId="1">'1) Balance Sheet Metrics'!$B$3</definedName>
    <definedName name="_xlnm.Criteria" localSheetId="2">'2) Estimated OPsCashflow'!#REF!</definedName>
    <definedName name="_xlnm.Criteria" localSheetId="3">'3) Profitability'!#REF!</definedName>
    <definedName name="_xlnm.Criteria" localSheetId="4">'4) Reserve &amp; Risk'!#REF!</definedName>
    <definedName name="POWER_USER_EXCEL_CHART_DDF3ABCE_737E_4C3D_97FC_12773E9C1B1C">'DS Tables'!$A$35:$C$64</definedName>
    <definedName name="POWER_USER_EXCEL_CHART_F8EC9919_E6ED_47E8_BD89_1B6CC1DFC0C6">'DS Tables'!$C$36:$C$64</definedName>
    <definedName name="Slicer_Category">#N/A</definedName>
    <definedName name="Slicer_Category1">#N/A</definedName>
    <definedName name="Slicer_Category2">#N/A</definedName>
    <definedName name="Slicer_Category3">#N/A</definedName>
    <definedName name="Slicer_Category4">#N/A</definedName>
    <definedName name="Slicer_Category41">#N/A</definedName>
    <definedName name="Slicer_Category411">#N/A</definedName>
  </definedNames>
  <calcPr calcId="191029"/>
  <pivotCaches>
    <pivotCache cacheId="49" r:id="rId23"/>
  </pivotCaches>
  <fileRecoveryPr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4"/>
        <x14:slicerCache r:id="rId25"/>
        <x14:slicerCache r:id="rId26"/>
        <x14:slicerCache r:id="rId27"/>
        <x14:slicerCache r:id="rId28"/>
        <x14:slicerCache r:id="rId29"/>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0" i="21" l="1"/>
  <c r="F31" i="21" s="1"/>
  <c r="G29" i="21" s="1"/>
  <c r="H29" i="21" s="1"/>
  <c r="F26" i="21"/>
  <c r="G25" i="21" s="1"/>
  <c r="H25" i="21" s="1"/>
  <c r="G24" i="21"/>
  <c r="H24" i="21" s="1"/>
  <c r="G23" i="21"/>
  <c r="H23" i="21" s="1"/>
  <c r="H22" i="21"/>
  <c r="H26" i="21" s="1"/>
  <c r="C25" i="4" s="1"/>
  <c r="J25" i="4" s="1"/>
  <c r="G22" i="21"/>
  <c r="H10" i="21"/>
  <c r="H9" i="21"/>
  <c r="H11" i="21" s="1"/>
  <c r="C22" i="4" s="1"/>
  <c r="J22" i="4" s="1"/>
  <c r="F5" i="21"/>
  <c r="F4" i="21"/>
  <c r="G4" i="21" s="1"/>
  <c r="H4" i="21" s="1"/>
  <c r="M3" i="21"/>
  <c r="M5" i="21" s="1"/>
  <c r="N4" i="21" s="1"/>
  <c r="O4" i="21" s="1"/>
  <c r="F3" i="21"/>
  <c r="G3" i="21" s="1"/>
  <c r="H3" i="21" s="1"/>
  <c r="H5" i="21" s="1"/>
  <c r="C21" i="4" s="1"/>
  <c r="J21" i="4" s="1"/>
  <c r="E28" i="20"/>
  <c r="E29" i="20" s="1"/>
  <c r="E17" i="20"/>
  <c r="E16" i="20"/>
  <c r="E15" i="20"/>
  <c r="E10" i="20"/>
  <c r="E9" i="20"/>
  <c r="K5" i="20"/>
  <c r="K4" i="20"/>
  <c r="K6" i="20" s="1"/>
  <c r="L5" i="20" s="1"/>
  <c r="M5" i="20" s="1"/>
  <c r="E34" i="19"/>
  <c r="F33" i="19"/>
  <c r="G33" i="19" s="1"/>
  <c r="F32" i="19"/>
  <c r="G32" i="19" s="1"/>
  <c r="G31" i="19"/>
  <c r="F31" i="19"/>
  <c r="E28" i="19"/>
  <c r="F27" i="19"/>
  <c r="G27" i="19" s="1"/>
  <c r="F26" i="19"/>
  <c r="G26" i="19" s="1"/>
  <c r="G25" i="19"/>
  <c r="F25" i="19"/>
  <c r="F24" i="19"/>
  <c r="G24" i="19" s="1"/>
  <c r="F23" i="19"/>
  <c r="G23" i="19" s="1"/>
  <c r="M20" i="19"/>
  <c r="M19" i="19"/>
  <c r="M18" i="19"/>
  <c r="E18" i="19"/>
  <c r="M17" i="19"/>
  <c r="M21" i="19" s="1"/>
  <c r="C13" i="4" s="1"/>
  <c r="J11" i="4" s="1"/>
  <c r="E17" i="19"/>
  <c r="E15" i="19"/>
  <c r="E13" i="19"/>
  <c r="E19" i="19" s="1"/>
  <c r="K6" i="19"/>
  <c r="E6" i="19"/>
  <c r="F5" i="19" s="1"/>
  <c r="G5" i="19" s="1"/>
  <c r="O5" i="19"/>
  <c r="H60" i="4"/>
  <c r="H59" i="4"/>
  <c r="H58" i="4"/>
  <c r="H57" i="4"/>
  <c r="H61" i="4" s="1"/>
  <c r="F53" i="4"/>
  <c r="G52" i="4" s="1"/>
  <c r="H52" i="4" s="1"/>
  <c r="G50" i="4"/>
  <c r="H50" i="4" s="1"/>
  <c r="H49" i="4"/>
  <c r="G49" i="4"/>
  <c r="F45" i="4"/>
  <c r="G44" i="4"/>
  <c r="H44" i="4" s="1"/>
  <c r="G43" i="4"/>
  <c r="H43" i="4" s="1"/>
  <c r="H42" i="4"/>
  <c r="G42" i="4"/>
  <c r="G41" i="4"/>
  <c r="H41" i="4" s="1"/>
  <c r="G40" i="4"/>
  <c r="H40" i="4" s="1"/>
  <c r="G39" i="4"/>
  <c r="H39" i="4" s="1"/>
  <c r="H38" i="4"/>
  <c r="G38" i="4"/>
  <c r="G37" i="4"/>
  <c r="H37" i="4" s="1"/>
  <c r="G36" i="4"/>
  <c r="H36" i="4" s="1"/>
  <c r="G35" i="4"/>
  <c r="H35" i="4" s="1"/>
  <c r="H34" i="4"/>
  <c r="G34" i="4"/>
  <c r="G33" i="4"/>
  <c r="H33" i="4" s="1"/>
  <c r="G32" i="4"/>
  <c r="H32" i="4" s="1"/>
  <c r="C30" i="4"/>
  <c r="J30" i="4" s="1"/>
  <c r="J29" i="4"/>
  <c r="C29" i="4"/>
  <c r="C28" i="4"/>
  <c r="J28" i="4" s="1"/>
  <c r="G27" i="4"/>
  <c r="H27" i="4" s="1"/>
  <c r="C24" i="4"/>
  <c r="J24" i="4" s="1"/>
  <c r="G23" i="4"/>
  <c r="H23" i="4" s="1"/>
  <c r="C23" i="4"/>
  <c r="J23" i="4" s="1"/>
  <c r="G21" i="4"/>
  <c r="H21" i="4" s="1"/>
  <c r="C20" i="4"/>
  <c r="J20" i="4" s="1"/>
  <c r="G17" i="4"/>
  <c r="H17" i="4" s="1"/>
  <c r="F17" i="4"/>
  <c r="F28" i="4" s="1"/>
  <c r="C17" i="4"/>
  <c r="J17" i="4" s="1"/>
  <c r="J14" i="4"/>
  <c r="C14" i="4"/>
  <c r="F13" i="4"/>
  <c r="G12" i="4"/>
  <c r="H12" i="4" s="1"/>
  <c r="C12" i="4"/>
  <c r="J12" i="4" s="1"/>
  <c r="G11" i="4"/>
  <c r="H11" i="4" s="1"/>
  <c r="G10" i="4"/>
  <c r="H10" i="4" s="1"/>
  <c r="G9" i="4"/>
  <c r="H9" i="4" s="1"/>
  <c r="G8" i="4"/>
  <c r="H8" i="4" s="1"/>
  <c r="G7" i="4"/>
  <c r="H7" i="4" s="1"/>
  <c r="G6" i="4"/>
  <c r="H6" i="4" s="1"/>
  <c r="G5" i="4"/>
  <c r="H5" i="4" s="1"/>
  <c r="G4" i="4"/>
  <c r="H4" i="4" s="1"/>
  <c r="C4" i="4"/>
  <c r="J6" i="4" s="1"/>
  <c r="AD41" i="7"/>
  <c r="AC41" i="7"/>
  <c r="AB41" i="7"/>
  <c r="AH40" i="7"/>
  <c r="AG40" i="7"/>
  <c r="AF40" i="7"/>
  <c r="AE40" i="7"/>
  <c r="AA40" i="7"/>
  <c r="S40" i="7"/>
  <c r="M40" i="7"/>
  <c r="I40" i="7"/>
  <c r="D40" i="7" a="1"/>
  <c r="D40" i="7" s="1"/>
  <c r="C40" i="7"/>
  <c r="Z40" i="7" s="1"/>
  <c r="AE30" i="24" s="1"/>
  <c r="AH39" i="7"/>
  <c r="AG39" i="7"/>
  <c r="AF39" i="7"/>
  <c r="AE39" i="7"/>
  <c r="I39" i="7"/>
  <c r="N25" i="24" s="1"/>
  <c r="D39" i="7" a="1"/>
  <c r="D39" i="7" s="1"/>
  <c r="D25" i="24" s="1"/>
  <c r="C39" i="7"/>
  <c r="I38" i="7"/>
  <c r="H38" i="7"/>
  <c r="D38" i="7" a="1"/>
  <c r="D38" i="7" s="1"/>
  <c r="D28" i="8" s="1"/>
  <c r="C38" i="7"/>
  <c r="C28" i="8" s="1"/>
  <c r="AH37" i="7"/>
  <c r="AG37" i="7"/>
  <c r="AF37" i="7"/>
  <c r="AE37" i="7"/>
  <c r="AA37" i="7"/>
  <c r="X37" i="7"/>
  <c r="M37" i="7"/>
  <c r="I37" i="7"/>
  <c r="H37" i="7"/>
  <c r="D37" i="7" a="1"/>
  <c r="D37" i="7" s="1"/>
  <c r="C37" i="7"/>
  <c r="Z37" i="7" s="1"/>
  <c r="AH36" i="7"/>
  <c r="AG36" i="7"/>
  <c r="AF36" i="7"/>
  <c r="AE36" i="7"/>
  <c r="AA36" i="7"/>
  <c r="X36" i="7"/>
  <c r="M36" i="7"/>
  <c r="H36" i="7"/>
  <c r="I36" i="7" s="1"/>
  <c r="D36" i="7" a="1"/>
  <c r="D36" i="7" s="1"/>
  <c r="C36" i="7"/>
  <c r="Z36" i="7" s="1"/>
  <c r="AE15" i="24" s="1"/>
  <c r="AH35" i="7"/>
  <c r="AG35" i="7"/>
  <c r="AF35" i="7"/>
  <c r="AE35" i="7"/>
  <c r="AA35" i="7"/>
  <c r="X35" i="7"/>
  <c r="H35" i="7"/>
  <c r="D35" i="7" a="1"/>
  <c r="D35" i="7" s="1"/>
  <c r="D29" i="24" s="1"/>
  <c r="C35" i="7"/>
  <c r="Z35" i="7" s="1"/>
  <c r="AE29" i="24" s="1"/>
  <c r="AH34" i="7"/>
  <c r="AG34" i="7"/>
  <c r="AF34" i="7"/>
  <c r="AE34" i="7"/>
  <c r="AA34" i="7"/>
  <c r="I34" i="7"/>
  <c r="D34" i="7" a="1"/>
  <c r="D34" i="7" s="1"/>
  <c r="C34" i="7"/>
  <c r="Z34" i="7" s="1"/>
  <c r="AH33" i="7"/>
  <c r="AF33" i="7"/>
  <c r="AF41" i="7" s="1"/>
  <c r="AE33" i="7"/>
  <c r="X33" i="7"/>
  <c r="M33" i="7"/>
  <c r="L33" i="7"/>
  <c r="H33" i="7"/>
  <c r="I33" i="7" s="1"/>
  <c r="D33" i="7" a="1"/>
  <c r="D33" i="7" s="1"/>
  <c r="D23" i="24" s="1"/>
  <c r="C33" i="7"/>
  <c r="Z33" i="7" s="1"/>
  <c r="AE23" i="8" s="1"/>
  <c r="AH32" i="7"/>
  <c r="AG32" i="7"/>
  <c r="AF32" i="7"/>
  <c r="AE32" i="7"/>
  <c r="AE41" i="7" s="1"/>
  <c r="AA32" i="7"/>
  <c r="X32" i="7"/>
  <c r="X41" i="7" s="1"/>
  <c r="I32" i="7"/>
  <c r="D32" i="7" a="1"/>
  <c r="D32" i="7" s="1"/>
  <c r="C32" i="7"/>
  <c r="C14" i="24" s="1"/>
  <c r="AH31" i="7"/>
  <c r="AG31" i="7"/>
  <c r="AG41" i="7" s="1"/>
  <c r="AF31" i="7"/>
  <c r="AE31" i="7"/>
  <c r="AA31" i="7"/>
  <c r="AA41" i="7" s="1"/>
  <c r="M31" i="7"/>
  <c r="I31" i="7"/>
  <c r="H31" i="7"/>
  <c r="D31" i="7" a="1"/>
  <c r="D31" i="7" s="1"/>
  <c r="D21" i="8" s="1"/>
  <c r="C31" i="7"/>
  <c r="Z31" i="7" s="1"/>
  <c r="AF28" i="7"/>
  <c r="AE28" i="7"/>
  <c r="AD28" i="7"/>
  <c r="AC28" i="7"/>
  <c r="AB28" i="7"/>
  <c r="AH27" i="7"/>
  <c r="AG27" i="7"/>
  <c r="AF27" i="7"/>
  <c r="AE27" i="7"/>
  <c r="AA27" i="7"/>
  <c r="I27" i="7"/>
  <c r="D27" i="7" a="1"/>
  <c r="D27" i="7" s="1"/>
  <c r="D20" i="24" s="1"/>
  <c r="C27" i="7"/>
  <c r="Z27" i="7" s="1"/>
  <c r="AE20" i="24" s="1"/>
  <c r="AH26" i="7"/>
  <c r="AG26" i="7"/>
  <c r="AF26" i="7"/>
  <c r="AE26" i="7"/>
  <c r="AA26" i="7"/>
  <c r="M26" i="7"/>
  <c r="H26" i="7"/>
  <c r="I26" i="7" s="1"/>
  <c r="D26" i="7" a="1"/>
  <c r="D26" i="7" s="1"/>
  <c r="D19" i="24" s="1"/>
  <c r="C26" i="7"/>
  <c r="C19" i="8" s="1"/>
  <c r="AH25" i="7"/>
  <c r="AG25" i="7"/>
  <c r="AF25" i="7"/>
  <c r="AE25" i="7"/>
  <c r="AA25" i="7"/>
  <c r="I25" i="7"/>
  <c r="D25" i="7" a="1"/>
  <c r="D25" i="7" s="1"/>
  <c r="C25" i="7"/>
  <c r="Z25" i="7" s="1"/>
  <c r="AE18" i="8" s="1"/>
  <c r="AH24" i="7"/>
  <c r="AG24" i="7"/>
  <c r="AF24" i="7"/>
  <c r="AE24" i="7"/>
  <c r="I24" i="7"/>
  <c r="D24" i="7" a="1"/>
  <c r="D24" i="7" s="1"/>
  <c r="C24" i="7"/>
  <c r="C17" i="24" s="1"/>
  <c r="AH23" i="7"/>
  <c r="AG23" i="7"/>
  <c r="AF23" i="7"/>
  <c r="AE23" i="7"/>
  <c r="AA23" i="7"/>
  <c r="X23" i="7"/>
  <c r="I23" i="7"/>
  <c r="D23" i="7" a="1"/>
  <c r="D23" i="7" s="1"/>
  <c r="D7" i="24" s="1"/>
  <c r="C23" i="7"/>
  <c r="Z23" i="7" s="1"/>
  <c r="AH22" i="7"/>
  <c r="AG22" i="7"/>
  <c r="AF22" i="7"/>
  <c r="AE22" i="7"/>
  <c r="AA22" i="7"/>
  <c r="X22" i="7"/>
  <c r="X28" i="7" s="1"/>
  <c r="I22" i="7"/>
  <c r="D22" i="7" a="1"/>
  <c r="D22" i="7" s="1"/>
  <c r="D15" i="8" s="1"/>
  <c r="C22" i="7"/>
  <c r="Z22" i="7" s="1"/>
  <c r="AH21" i="7"/>
  <c r="AG21" i="7"/>
  <c r="AF21" i="7"/>
  <c r="AE21" i="7"/>
  <c r="AA21" i="7"/>
  <c r="AA28" i="7" s="1"/>
  <c r="M21" i="7"/>
  <c r="I21" i="7"/>
  <c r="H21" i="7"/>
  <c r="D21" i="7" a="1"/>
  <c r="D21" i="7" s="1"/>
  <c r="C21" i="7"/>
  <c r="C22" i="24" s="1"/>
  <c r="AH18" i="7"/>
  <c r="AG18" i="7"/>
  <c r="AF18" i="7"/>
  <c r="AE18" i="7"/>
  <c r="AA18" i="7"/>
  <c r="X18" i="7"/>
  <c r="X19" i="7" s="1"/>
  <c r="M18" i="7"/>
  <c r="I18" i="7"/>
  <c r="H18" i="7"/>
  <c r="D18" i="7" a="1"/>
  <c r="D18" i="7" s="1"/>
  <c r="C18" i="7"/>
  <c r="C13" i="24" s="1"/>
  <c r="AH17" i="7"/>
  <c r="AG17" i="7"/>
  <c r="AF17" i="7"/>
  <c r="AE17" i="7"/>
  <c r="AA17" i="7"/>
  <c r="M17" i="7"/>
  <c r="I17" i="7"/>
  <c r="H17" i="7"/>
  <c r="D17" i="7" a="1"/>
  <c r="D17" i="7" s="1"/>
  <c r="D12" i="24" s="1"/>
  <c r="C17" i="7"/>
  <c r="Z17" i="7" s="1"/>
  <c r="AH16" i="7"/>
  <c r="AG16" i="7"/>
  <c r="AF16" i="7"/>
  <c r="AE16" i="7"/>
  <c r="AA16" i="7"/>
  <c r="I16" i="7"/>
  <c r="D16" i="7" a="1"/>
  <c r="D16" i="7" s="1"/>
  <c r="C16" i="7"/>
  <c r="Z16" i="7" s="1"/>
  <c r="AE11" i="8" s="1"/>
  <c r="AH15" i="7"/>
  <c r="AG15" i="7"/>
  <c r="AF15" i="7"/>
  <c r="AE15" i="7"/>
  <c r="AA15" i="7"/>
  <c r="M15" i="7"/>
  <c r="I15" i="7"/>
  <c r="H15" i="7"/>
  <c r="D15" i="7" a="1"/>
  <c r="D15" i="7" s="1"/>
  <c r="C15" i="7"/>
  <c r="C10" i="8" s="1"/>
  <c r="AH14" i="7"/>
  <c r="AG14" i="7"/>
  <c r="AF14" i="7"/>
  <c r="AE14" i="7"/>
  <c r="AD14" i="7"/>
  <c r="AC14" i="7"/>
  <c r="AB14" i="7"/>
  <c r="AA14" i="7"/>
  <c r="I14" i="7"/>
  <c r="D14" i="7" a="1"/>
  <c r="D14" i="7" s="1"/>
  <c r="C14" i="7"/>
  <c r="C3" i="24" s="1"/>
  <c r="AH13" i="7"/>
  <c r="AG13" i="7"/>
  <c r="AF13" i="7"/>
  <c r="AE13" i="7"/>
  <c r="AD13" i="7"/>
  <c r="AA13" i="7"/>
  <c r="M13" i="7"/>
  <c r="H13" i="7"/>
  <c r="I13" i="7" s="1"/>
  <c r="G13" i="7"/>
  <c r="F13" i="7"/>
  <c r="D13" i="7" a="1"/>
  <c r="D13" i="7" s="1"/>
  <c r="D8" i="8" s="1"/>
  <c r="C13" i="7"/>
  <c r="AH12" i="7"/>
  <c r="AH19" i="7" s="1"/>
  <c r="AG12" i="7"/>
  <c r="AF12" i="7"/>
  <c r="AE12" i="7"/>
  <c r="AE19" i="7" s="1"/>
  <c r="AD12" i="7"/>
  <c r="AC12" i="7"/>
  <c r="AC19" i="7" s="1"/>
  <c r="AB12" i="7"/>
  <c r="AB19" i="7" s="1"/>
  <c r="AA12" i="7"/>
  <c r="AA19" i="7" s="1"/>
  <c r="T12" i="7"/>
  <c r="M12" i="7"/>
  <c r="I12" i="7"/>
  <c r="H12" i="7"/>
  <c r="F12" i="7"/>
  <c r="D12" i="7" a="1"/>
  <c r="D12" i="7" s="1"/>
  <c r="D7" i="8" s="1"/>
  <c r="C12" i="7"/>
  <c r="C7" i="8" s="1"/>
  <c r="AB10" i="7"/>
  <c r="AH9" i="7"/>
  <c r="AG9" i="7"/>
  <c r="AF9" i="7"/>
  <c r="AE9" i="7"/>
  <c r="AA9" i="7"/>
  <c r="M9" i="7"/>
  <c r="I9" i="7"/>
  <c r="H9" i="7"/>
  <c r="D9" i="7" a="1"/>
  <c r="D9" i="7" s="1"/>
  <c r="D6" i="8" s="1"/>
  <c r="C9" i="7"/>
  <c r="C6" i="8" s="1"/>
  <c r="AH8" i="7"/>
  <c r="AG8" i="7"/>
  <c r="AF8" i="7"/>
  <c r="AE8" i="7"/>
  <c r="AA8" i="7"/>
  <c r="M8" i="7"/>
  <c r="I8" i="7"/>
  <c r="H8" i="7"/>
  <c r="D8" i="7" a="1"/>
  <c r="D8" i="7" s="1"/>
  <c r="C8" i="7"/>
  <c r="Z8" i="7" s="1"/>
  <c r="AE5" i="8" s="1"/>
  <c r="AH7" i="7"/>
  <c r="AG7" i="7"/>
  <c r="AF7" i="7"/>
  <c r="AE7" i="7"/>
  <c r="AD7" i="7"/>
  <c r="AC7" i="7"/>
  <c r="AC10" i="7" s="1"/>
  <c r="AB7" i="7"/>
  <c r="AA7" i="7"/>
  <c r="AA10" i="7" s="1"/>
  <c r="X7" i="7"/>
  <c r="X10" i="7" s="1"/>
  <c r="M7" i="7"/>
  <c r="D7" i="7" a="1"/>
  <c r="D7" i="7" s="1"/>
  <c r="D4" i="8" s="1"/>
  <c r="C7" i="7"/>
  <c r="Z7" i="7" s="1"/>
  <c r="AE4" i="24" s="1"/>
  <c r="AH6" i="7"/>
  <c r="AG6" i="7"/>
  <c r="AF6" i="7"/>
  <c r="AE6" i="7"/>
  <c r="AD6" i="7"/>
  <c r="AD10" i="7" s="1"/>
  <c r="AC6" i="7"/>
  <c r="AB6" i="7"/>
  <c r="AA6" i="7"/>
  <c r="H6" i="7"/>
  <c r="D6" i="7" a="1"/>
  <c r="D6" i="7" s="1"/>
  <c r="D6" i="24" s="1"/>
  <c r="C6" i="7" a="1"/>
  <c r="C6" i="7" s="1"/>
  <c r="AH5" i="7"/>
  <c r="AG5" i="7"/>
  <c r="AF5" i="7"/>
  <c r="AE5" i="7"/>
  <c r="AE10" i="7" s="1"/>
  <c r="AA5" i="7"/>
  <c r="T5" i="7"/>
  <c r="H5" i="7"/>
  <c r="I5" i="7" s="1"/>
  <c r="I10" i="7" s="1"/>
  <c r="D5" i="7" a="1"/>
  <c r="D5" i="7" s="1"/>
  <c r="C5" i="7"/>
  <c r="Z5" i="7" s="1"/>
  <c r="J2" i="7"/>
  <c r="I2" i="7"/>
  <c r="H2" i="7"/>
  <c r="U12" i="7" s="1"/>
  <c r="E2" i="7" a="1"/>
  <c r="E2" i="7" s="1"/>
  <c r="D2" i="7" a="1"/>
  <c r="D2" i="7" s="1"/>
  <c r="C2" i="7"/>
  <c r="O39" i="7" s="1" a="1"/>
  <c r="O39" i="7" s="1"/>
  <c r="T29" i="8" s="1"/>
  <c r="J40" i="2" a="1"/>
  <c r="J40" i="2" s="1"/>
  <c r="I40" i="2" a="1"/>
  <c r="I40" i="2" s="1"/>
  <c r="H40" i="2" a="1"/>
  <c r="H40" i="2" s="1"/>
  <c r="G40" i="2" a="1"/>
  <c r="G40" i="2" s="1"/>
  <c r="F40" i="2" a="1"/>
  <c r="F40" i="2" s="1"/>
  <c r="E40" i="2" a="1"/>
  <c r="E40" i="2" s="1"/>
  <c r="D40" i="2" a="1"/>
  <c r="D40" i="2" s="1"/>
  <c r="C40" i="2"/>
  <c r="L40" i="2" s="1"/>
  <c r="J39" i="2" a="1"/>
  <c r="J39" i="2" s="1"/>
  <c r="I39" i="2" a="1"/>
  <c r="I39" i="2" s="1"/>
  <c r="H39" i="2" a="1"/>
  <c r="H39" i="2" s="1"/>
  <c r="G39" i="2" a="1"/>
  <c r="G39" i="2" s="1"/>
  <c r="F39" i="2" a="1"/>
  <c r="F39" i="2" s="1"/>
  <c r="E39" i="2" a="1"/>
  <c r="E39" i="2" s="1"/>
  <c r="D39" i="2" a="1"/>
  <c r="D39" i="2" s="1"/>
  <c r="C39" i="2"/>
  <c r="L39" i="2" s="1"/>
  <c r="J38" i="2" a="1"/>
  <c r="J38" i="2" s="1"/>
  <c r="I38" i="2" a="1"/>
  <c r="I38" i="2" s="1"/>
  <c r="H38" i="2" a="1"/>
  <c r="H38" i="2" s="1"/>
  <c r="G38" i="2" a="1"/>
  <c r="G38" i="2" s="1"/>
  <c r="F38" i="2" a="1"/>
  <c r="F38" i="2" s="1"/>
  <c r="E38" i="2" a="1"/>
  <c r="E38" i="2" s="1"/>
  <c r="D38" i="2" a="1"/>
  <c r="D38" i="2" s="1"/>
  <c r="C38" i="2"/>
  <c r="L38" i="2" s="1"/>
  <c r="J37" i="2" a="1"/>
  <c r="J37" i="2" s="1"/>
  <c r="I37" i="2" a="1"/>
  <c r="I37" i="2" s="1"/>
  <c r="H37" i="2" a="1"/>
  <c r="H37" i="2" s="1"/>
  <c r="G37" i="2" a="1"/>
  <c r="G37" i="2" s="1"/>
  <c r="F37" i="2" a="1"/>
  <c r="F37" i="2" s="1"/>
  <c r="E37" i="2" a="1"/>
  <c r="E37" i="2" s="1"/>
  <c r="D37" i="2" a="1"/>
  <c r="D37" i="2" s="1"/>
  <c r="C37" i="2"/>
  <c r="L37" i="2" s="1"/>
  <c r="J36" i="2" a="1"/>
  <c r="J36" i="2" s="1"/>
  <c r="I36" i="2" a="1"/>
  <c r="I36" i="2" s="1"/>
  <c r="H36" i="2" a="1"/>
  <c r="H36" i="2" s="1"/>
  <c r="G36" i="2" a="1"/>
  <c r="G36" i="2" s="1"/>
  <c r="F36" i="2" a="1"/>
  <c r="F36" i="2" s="1"/>
  <c r="E36" i="2" a="1"/>
  <c r="E36" i="2" s="1"/>
  <c r="D36" i="2" a="1"/>
  <c r="D36" i="2" s="1"/>
  <c r="C36" i="2"/>
  <c r="L36" i="2" s="1"/>
  <c r="J35" i="2" a="1"/>
  <c r="J35" i="2" s="1"/>
  <c r="I35" i="2" a="1"/>
  <c r="I35" i="2" s="1"/>
  <c r="H35" i="2" a="1"/>
  <c r="H35" i="2" s="1"/>
  <c r="G35" i="2" a="1"/>
  <c r="G35" i="2" s="1"/>
  <c r="F35" i="2" a="1"/>
  <c r="F35" i="2" s="1"/>
  <c r="E35" i="2" a="1"/>
  <c r="E35" i="2" s="1"/>
  <c r="D35" i="2" a="1"/>
  <c r="D35" i="2" s="1"/>
  <c r="C35" i="2"/>
  <c r="L35" i="2" s="1"/>
  <c r="J34" i="2" a="1"/>
  <c r="J34" i="2" s="1"/>
  <c r="I34" i="2" a="1"/>
  <c r="I34" i="2" s="1"/>
  <c r="H34" i="2" a="1"/>
  <c r="H34" i="2" s="1"/>
  <c r="G34" i="2" a="1"/>
  <c r="G34" i="2" s="1"/>
  <c r="F34" i="2" a="1"/>
  <c r="F34" i="2" s="1"/>
  <c r="E34" i="2" a="1"/>
  <c r="E34" i="2" s="1"/>
  <c r="D34" i="2" a="1"/>
  <c r="D34" i="2" s="1"/>
  <c r="C34" i="2"/>
  <c r="L34" i="2" s="1"/>
  <c r="J33" i="2" a="1"/>
  <c r="J33" i="2" s="1"/>
  <c r="I33" i="2" a="1"/>
  <c r="I33" i="2" s="1"/>
  <c r="H33" i="2" a="1"/>
  <c r="H33" i="2" s="1"/>
  <c r="G33" i="2" a="1"/>
  <c r="G33" i="2" s="1"/>
  <c r="F33" i="2" a="1"/>
  <c r="F33" i="2" s="1"/>
  <c r="E33" i="2" a="1"/>
  <c r="E33" i="2" s="1"/>
  <c r="D33" i="2" a="1"/>
  <c r="D33" i="2" s="1"/>
  <c r="C33" i="2"/>
  <c r="L33" i="2" s="1"/>
  <c r="J32" i="2" a="1"/>
  <c r="J32" i="2" s="1"/>
  <c r="I32" i="2" a="1"/>
  <c r="I32" i="2" s="1"/>
  <c r="H32" i="2" a="1"/>
  <c r="H32" i="2" s="1"/>
  <c r="G32" i="2" a="1"/>
  <c r="G32" i="2" s="1"/>
  <c r="F32" i="2" a="1"/>
  <c r="F32" i="2" s="1"/>
  <c r="E32" i="2" a="1"/>
  <c r="E32" i="2" s="1"/>
  <c r="D32" i="2" a="1"/>
  <c r="D32" i="2" s="1"/>
  <c r="C32" i="2"/>
  <c r="L32" i="2" s="1"/>
  <c r="J31" i="2" a="1"/>
  <c r="J31" i="2" s="1"/>
  <c r="I31" i="2" a="1"/>
  <c r="I31" i="2" s="1"/>
  <c r="H31" i="2" a="1"/>
  <c r="H31" i="2" s="1"/>
  <c r="G31" i="2" a="1"/>
  <c r="G31" i="2" s="1"/>
  <c r="F31" i="2" a="1"/>
  <c r="F31" i="2" s="1"/>
  <c r="E31" i="2" a="1"/>
  <c r="E31" i="2" s="1"/>
  <c r="D31" i="2" a="1"/>
  <c r="D31" i="2" s="1"/>
  <c r="C31" i="2"/>
  <c r="L31" i="2" s="1"/>
  <c r="J27" i="2" a="1"/>
  <c r="J27" i="2" s="1"/>
  <c r="I27" i="2" a="1"/>
  <c r="I27" i="2" s="1"/>
  <c r="H27" i="2" a="1"/>
  <c r="H27" i="2" s="1"/>
  <c r="G27" i="2" a="1"/>
  <c r="G27" i="2" s="1"/>
  <c r="F27" i="2" a="1"/>
  <c r="F27" i="2" s="1"/>
  <c r="E27" i="2" a="1"/>
  <c r="E27" i="2" s="1"/>
  <c r="D27" i="2" a="1"/>
  <c r="D27" i="2" s="1"/>
  <c r="C27" i="2"/>
  <c r="L27" i="2" s="1"/>
  <c r="J26" i="2" a="1"/>
  <c r="J26" i="2" s="1"/>
  <c r="I26" i="2" a="1"/>
  <c r="I26" i="2" s="1"/>
  <c r="H26" i="2" a="1"/>
  <c r="H26" i="2" s="1"/>
  <c r="G26" i="2" a="1"/>
  <c r="G26" i="2" s="1"/>
  <c r="F26" i="2" a="1"/>
  <c r="F26" i="2" s="1"/>
  <c r="E26" i="2" a="1"/>
  <c r="E26" i="2" s="1"/>
  <c r="D26" i="2" a="1"/>
  <c r="D26" i="2" s="1"/>
  <c r="C26" i="2"/>
  <c r="L26" i="2" s="1"/>
  <c r="J25" i="2" a="1"/>
  <c r="J25" i="2" s="1"/>
  <c r="I25" i="2" a="1"/>
  <c r="I25" i="2" s="1"/>
  <c r="H25" i="2" a="1"/>
  <c r="H25" i="2" s="1"/>
  <c r="G25" i="2" a="1"/>
  <c r="G25" i="2" s="1"/>
  <c r="F25" i="2" a="1"/>
  <c r="F25" i="2" s="1"/>
  <c r="E25" i="2" a="1"/>
  <c r="E25" i="2" s="1"/>
  <c r="D25" i="2" a="1"/>
  <c r="D25" i="2" s="1"/>
  <c r="C25" i="2"/>
  <c r="L25" i="2" s="1"/>
  <c r="J24" i="2" a="1"/>
  <c r="J24" i="2" s="1"/>
  <c r="I24" i="2" a="1"/>
  <c r="I24" i="2" s="1"/>
  <c r="H24" i="2" a="1"/>
  <c r="H24" i="2" s="1"/>
  <c r="G24" i="2" a="1"/>
  <c r="G24" i="2" s="1"/>
  <c r="F24" i="2" a="1"/>
  <c r="F24" i="2" s="1"/>
  <c r="E24" i="2" a="1"/>
  <c r="E24" i="2" s="1"/>
  <c r="D24" i="2" a="1"/>
  <c r="D24" i="2" s="1"/>
  <c r="C24" i="2"/>
  <c r="L24" i="2" s="1"/>
  <c r="J23" i="2" a="1"/>
  <c r="J23" i="2" s="1"/>
  <c r="I23" i="2" a="1"/>
  <c r="I23" i="2" s="1"/>
  <c r="H23" i="2" a="1"/>
  <c r="H23" i="2" s="1"/>
  <c r="G23" i="2" a="1"/>
  <c r="G23" i="2" s="1"/>
  <c r="F23" i="2" a="1"/>
  <c r="F23" i="2" s="1"/>
  <c r="E23" i="2" a="1"/>
  <c r="E23" i="2" s="1"/>
  <c r="D23" i="2" a="1"/>
  <c r="D23" i="2" s="1"/>
  <c r="C23" i="2"/>
  <c r="L23" i="2" s="1"/>
  <c r="J22" i="2" a="1"/>
  <c r="J22" i="2" s="1"/>
  <c r="I22" i="2" a="1"/>
  <c r="I22" i="2" s="1"/>
  <c r="H22" i="2" a="1"/>
  <c r="H22" i="2" s="1"/>
  <c r="G22" i="2" a="1"/>
  <c r="G22" i="2" s="1"/>
  <c r="F22" i="2" a="1"/>
  <c r="F22" i="2" s="1"/>
  <c r="E22" i="2" a="1"/>
  <c r="E22" i="2" s="1"/>
  <c r="D22" i="2" a="1"/>
  <c r="D22" i="2" s="1"/>
  <c r="C22" i="2"/>
  <c r="L22" i="2" s="1"/>
  <c r="J21" i="2" a="1"/>
  <c r="J21" i="2" s="1"/>
  <c r="I21" i="2" a="1"/>
  <c r="I21" i="2" s="1"/>
  <c r="H21" i="2" a="1"/>
  <c r="H21" i="2" s="1"/>
  <c r="G21" i="2" a="1"/>
  <c r="G21" i="2" s="1"/>
  <c r="F21" i="2" a="1"/>
  <c r="F21" i="2" s="1"/>
  <c r="E21" i="2" a="1"/>
  <c r="E21" i="2" s="1"/>
  <c r="D21" i="2" a="1"/>
  <c r="D21" i="2" s="1"/>
  <c r="C21" i="2"/>
  <c r="L21" i="2" s="1"/>
  <c r="J18" i="2" a="1"/>
  <c r="J18" i="2" s="1"/>
  <c r="I18" i="2" a="1"/>
  <c r="I18" i="2" s="1"/>
  <c r="H18" i="2" a="1"/>
  <c r="H18" i="2" s="1"/>
  <c r="G18" i="2" a="1"/>
  <c r="G18" i="2" s="1"/>
  <c r="F18" i="2" a="1"/>
  <c r="F18" i="2" s="1"/>
  <c r="E18" i="2" a="1"/>
  <c r="E18" i="2" s="1"/>
  <c r="D18" i="2" a="1"/>
  <c r="D18" i="2" s="1"/>
  <c r="C18" i="2"/>
  <c r="L18" i="2" s="1"/>
  <c r="J17" i="2" a="1"/>
  <c r="J17" i="2" s="1"/>
  <c r="I17" i="2" a="1"/>
  <c r="I17" i="2" s="1"/>
  <c r="H17" i="2" a="1"/>
  <c r="H17" i="2" s="1"/>
  <c r="G17" i="2" a="1"/>
  <c r="G17" i="2" s="1"/>
  <c r="F17" i="2" a="1"/>
  <c r="F17" i="2" s="1"/>
  <c r="E17" i="2" a="1"/>
  <c r="E17" i="2" s="1"/>
  <c r="D17" i="2" a="1"/>
  <c r="D17" i="2" s="1"/>
  <c r="C17" i="2"/>
  <c r="L17" i="2" s="1"/>
  <c r="J16" i="2" a="1"/>
  <c r="J16" i="2" s="1"/>
  <c r="I16" i="2" a="1"/>
  <c r="I16" i="2" s="1"/>
  <c r="H16" i="2" a="1"/>
  <c r="H16" i="2" s="1"/>
  <c r="G16" i="2" a="1"/>
  <c r="G16" i="2" s="1"/>
  <c r="F16" i="2" a="1"/>
  <c r="F16" i="2" s="1"/>
  <c r="E16" i="2" a="1"/>
  <c r="E16" i="2" s="1"/>
  <c r="D16" i="2" a="1"/>
  <c r="D16" i="2" s="1"/>
  <c r="C16" i="2"/>
  <c r="L16" i="2" s="1"/>
  <c r="J15" i="2" a="1"/>
  <c r="J15" i="2" s="1"/>
  <c r="I15" i="2" a="1"/>
  <c r="I15" i="2" s="1"/>
  <c r="H15" i="2" a="1"/>
  <c r="H15" i="2" s="1"/>
  <c r="G15" i="2" a="1"/>
  <c r="G15" i="2" s="1"/>
  <c r="F15" i="2" a="1"/>
  <c r="F15" i="2" s="1"/>
  <c r="E15" i="2" a="1"/>
  <c r="E15" i="2" s="1"/>
  <c r="D15" i="2" a="1"/>
  <c r="D15" i="2" s="1"/>
  <c r="C15" i="2"/>
  <c r="L15" i="2" s="1"/>
  <c r="J14" i="2" a="1"/>
  <c r="J14" i="2" s="1"/>
  <c r="I14" i="2" a="1"/>
  <c r="I14" i="2" s="1"/>
  <c r="H14" i="2" a="1"/>
  <c r="H14" i="2" s="1"/>
  <c r="G14" i="2" a="1"/>
  <c r="G14" i="2" s="1"/>
  <c r="F14" i="2" a="1"/>
  <c r="F14" i="2" s="1"/>
  <c r="E14" i="2" a="1"/>
  <c r="E14" i="2" s="1"/>
  <c r="D14" i="2" a="1"/>
  <c r="D14" i="2" s="1"/>
  <c r="C14" i="2"/>
  <c r="L14" i="2" s="1"/>
  <c r="J13" i="2" a="1"/>
  <c r="J13" i="2" s="1"/>
  <c r="I13" i="2" a="1"/>
  <c r="I13" i="2" s="1"/>
  <c r="H13" i="2" a="1"/>
  <c r="H13" i="2" s="1"/>
  <c r="G13" i="2" a="1"/>
  <c r="G13" i="2" s="1"/>
  <c r="F13" i="2" a="1"/>
  <c r="F13" i="2" s="1"/>
  <c r="E13" i="2" a="1"/>
  <c r="E13" i="2" s="1"/>
  <c r="D13" i="2" a="1"/>
  <c r="D13" i="2" s="1"/>
  <c r="C13" i="2"/>
  <c r="L13" i="2" s="1"/>
  <c r="J12" i="2" a="1"/>
  <c r="J12" i="2" s="1"/>
  <c r="I12" i="2" a="1"/>
  <c r="I12" i="2" s="1"/>
  <c r="H12" i="2" a="1"/>
  <c r="H12" i="2" s="1"/>
  <c r="G12" i="2" a="1"/>
  <c r="G12" i="2" s="1"/>
  <c r="F12" i="2" a="1"/>
  <c r="F12" i="2" s="1"/>
  <c r="E12" i="2" a="1"/>
  <c r="E12" i="2" s="1"/>
  <c r="D12" i="2" a="1"/>
  <c r="D12" i="2" s="1"/>
  <c r="C12" i="2"/>
  <c r="L12" i="2" s="1"/>
  <c r="J9" i="2" a="1"/>
  <c r="J9" i="2" s="1"/>
  <c r="I9" i="2" a="1"/>
  <c r="I9" i="2" s="1"/>
  <c r="H9" i="2" a="1"/>
  <c r="H9" i="2" s="1"/>
  <c r="G9" i="2" a="1"/>
  <c r="G9" i="2" s="1"/>
  <c r="F9" i="2" a="1"/>
  <c r="F9" i="2" s="1"/>
  <c r="E9" i="2" a="1"/>
  <c r="E9" i="2" s="1"/>
  <c r="D9" i="2" a="1"/>
  <c r="D9" i="2" s="1"/>
  <c r="C9" i="2"/>
  <c r="L9" i="2" s="1"/>
  <c r="J8" i="2" a="1"/>
  <c r="J8" i="2" s="1"/>
  <c r="I8" i="2" a="1"/>
  <c r="I8" i="2" s="1"/>
  <c r="H8" i="2" a="1"/>
  <c r="H8" i="2" s="1"/>
  <c r="G8" i="2" a="1"/>
  <c r="G8" i="2" s="1"/>
  <c r="F8" i="2" a="1"/>
  <c r="F8" i="2" s="1"/>
  <c r="E8" i="2" a="1"/>
  <c r="E8" i="2" s="1"/>
  <c r="D8" i="2" a="1"/>
  <c r="D8" i="2" s="1"/>
  <c r="C8" i="2"/>
  <c r="L8" i="2" s="1"/>
  <c r="J7" i="2" a="1"/>
  <c r="J7" i="2" s="1"/>
  <c r="I7" i="2" a="1"/>
  <c r="I7" i="2" s="1"/>
  <c r="H7" i="2" a="1"/>
  <c r="H7" i="2" s="1"/>
  <c r="G7" i="2" a="1"/>
  <c r="G7" i="2" s="1"/>
  <c r="F7" i="2" a="1"/>
  <c r="F7" i="2" s="1"/>
  <c r="E7" i="2" a="1"/>
  <c r="E7" i="2" s="1"/>
  <c r="D7" i="2" a="1"/>
  <c r="D7" i="2" s="1"/>
  <c r="C7" i="2"/>
  <c r="L7" i="2" s="1"/>
  <c r="J6" i="2" a="1"/>
  <c r="J6" i="2" s="1"/>
  <c r="I6" i="2" a="1"/>
  <c r="I6" i="2" s="1"/>
  <c r="H6" i="2" a="1"/>
  <c r="H6" i="2" s="1"/>
  <c r="G6" i="2" a="1"/>
  <c r="G6" i="2" s="1"/>
  <c r="F6" i="2" a="1"/>
  <c r="F6" i="2" s="1"/>
  <c r="E6" i="2" a="1"/>
  <c r="E6" i="2" s="1"/>
  <c r="D6" i="2" a="1"/>
  <c r="D6" i="2" s="1"/>
  <c r="C6" i="2"/>
  <c r="L6" i="2" s="1"/>
  <c r="J5" i="2" a="1"/>
  <c r="J5" i="2" s="1"/>
  <c r="I5" i="2" a="1"/>
  <c r="I5" i="2" s="1"/>
  <c r="H5" i="2" a="1"/>
  <c r="H5" i="2" s="1"/>
  <c r="G5" i="2" a="1"/>
  <c r="G5" i="2" s="1"/>
  <c r="F5" i="2" a="1"/>
  <c r="F5" i="2" s="1"/>
  <c r="E5" i="2" a="1"/>
  <c r="E5" i="2" s="1"/>
  <c r="D5" i="2" a="1"/>
  <c r="D5" i="2" s="1"/>
  <c r="C5" i="2"/>
  <c r="L5" i="2" s="1"/>
  <c r="E2" i="2" a="1"/>
  <c r="E2" i="2" s="1"/>
  <c r="D2" i="2" a="1"/>
  <c r="D2" i="2" s="1"/>
  <c r="C2" i="2"/>
  <c r="AM30" i="24"/>
  <c r="AL30" i="24"/>
  <c r="AK30" i="24"/>
  <c r="AJ30" i="24"/>
  <c r="AI30" i="24"/>
  <c r="AH30" i="24"/>
  <c r="AG30" i="24"/>
  <c r="AF30" i="24"/>
  <c r="AD30" i="24"/>
  <c r="AC30" i="24"/>
  <c r="Z30" i="24"/>
  <c r="Y30" i="24"/>
  <c r="X30" i="24"/>
  <c r="S30" i="24"/>
  <c r="R30" i="24"/>
  <c r="Q30" i="24"/>
  <c r="P30" i="24"/>
  <c r="O30" i="24"/>
  <c r="N30" i="24"/>
  <c r="M30" i="24"/>
  <c r="L30" i="24"/>
  <c r="K30" i="24"/>
  <c r="D30" i="24"/>
  <c r="A30" i="24"/>
  <c r="G30" i="24" s="1"/>
  <c r="AM29" i="24"/>
  <c r="AL29" i="24"/>
  <c r="AK29" i="24"/>
  <c r="AJ29" i="24"/>
  <c r="AI29" i="24"/>
  <c r="AH29" i="24"/>
  <c r="AG29" i="24"/>
  <c r="AF29" i="24"/>
  <c r="AD29" i="24"/>
  <c r="AC29" i="24"/>
  <c r="Z29" i="24"/>
  <c r="Y29" i="24"/>
  <c r="X29" i="24"/>
  <c r="S29" i="24"/>
  <c r="R29" i="24"/>
  <c r="Q29" i="24"/>
  <c r="P29" i="24"/>
  <c r="O29" i="24"/>
  <c r="L29" i="24"/>
  <c r="K29" i="24"/>
  <c r="A29" i="24"/>
  <c r="H29" i="24" s="1"/>
  <c r="AM28" i="24"/>
  <c r="AL28" i="24"/>
  <c r="AK28" i="24"/>
  <c r="AJ28" i="24"/>
  <c r="AI28" i="24"/>
  <c r="AH28" i="24"/>
  <c r="AG28" i="24"/>
  <c r="AF28" i="24"/>
  <c r="AD28" i="24"/>
  <c r="AC28" i="24"/>
  <c r="Z28" i="24"/>
  <c r="Y28" i="24"/>
  <c r="X28" i="24"/>
  <c r="S28" i="24"/>
  <c r="R28" i="24"/>
  <c r="Q28" i="24"/>
  <c r="P28" i="24"/>
  <c r="O28" i="24"/>
  <c r="N28" i="24"/>
  <c r="M28" i="24"/>
  <c r="L28" i="24"/>
  <c r="K28" i="24"/>
  <c r="D28" i="24"/>
  <c r="C28" i="24"/>
  <c r="A28" i="24"/>
  <c r="J28" i="24" s="1"/>
  <c r="AM27" i="24"/>
  <c r="AL27" i="24"/>
  <c r="AK27" i="24"/>
  <c r="AJ27" i="24"/>
  <c r="AI27" i="24"/>
  <c r="AH27" i="24"/>
  <c r="AG27" i="24"/>
  <c r="AF27" i="24"/>
  <c r="AD27" i="24"/>
  <c r="AC27" i="24"/>
  <c r="Z27" i="24"/>
  <c r="Y27" i="24"/>
  <c r="X27" i="24"/>
  <c r="S27" i="24"/>
  <c r="R27" i="24"/>
  <c r="Q27" i="24"/>
  <c r="P27" i="24"/>
  <c r="O27" i="24"/>
  <c r="N27" i="24"/>
  <c r="M27" i="24"/>
  <c r="L27" i="24"/>
  <c r="K27" i="24"/>
  <c r="D27" i="24"/>
  <c r="A27" i="24"/>
  <c r="J27" i="24" s="1"/>
  <c r="AM26" i="24"/>
  <c r="AL26" i="24"/>
  <c r="AK26" i="24"/>
  <c r="AJ26" i="24"/>
  <c r="AI26" i="24"/>
  <c r="AH26" i="24"/>
  <c r="AG26" i="24"/>
  <c r="AF26" i="24"/>
  <c r="AE26" i="24"/>
  <c r="AD26" i="24"/>
  <c r="AC26" i="24"/>
  <c r="Z26" i="24"/>
  <c r="Y26" i="24"/>
  <c r="X26" i="24"/>
  <c r="S26" i="24"/>
  <c r="R26" i="24"/>
  <c r="Q26" i="24"/>
  <c r="P26" i="24"/>
  <c r="O26" i="24"/>
  <c r="N26" i="24"/>
  <c r="M26" i="24"/>
  <c r="L26" i="24"/>
  <c r="K26" i="24"/>
  <c r="A26" i="24"/>
  <c r="J26" i="24" s="1"/>
  <c r="AM25" i="24"/>
  <c r="AL25" i="24"/>
  <c r="AK25" i="24"/>
  <c r="AJ25" i="24"/>
  <c r="AI25" i="24"/>
  <c r="AH25" i="24"/>
  <c r="AG25" i="24"/>
  <c r="AF25" i="24"/>
  <c r="AE25" i="24"/>
  <c r="AD25" i="24"/>
  <c r="AC25" i="24"/>
  <c r="Z25" i="24"/>
  <c r="Y25" i="24"/>
  <c r="X25" i="24"/>
  <c r="T25" i="24"/>
  <c r="S25" i="24"/>
  <c r="R25" i="24"/>
  <c r="Q25" i="24"/>
  <c r="P25" i="24"/>
  <c r="O25" i="24"/>
  <c r="M25" i="24"/>
  <c r="L25" i="24"/>
  <c r="K25" i="24"/>
  <c r="C25" i="24"/>
  <c r="A25" i="24"/>
  <c r="J25" i="24" s="1"/>
  <c r="AM24" i="24"/>
  <c r="AL24" i="24"/>
  <c r="AK24" i="24"/>
  <c r="AJ24" i="24"/>
  <c r="AI24" i="24"/>
  <c r="AH24" i="24"/>
  <c r="AG24" i="24"/>
  <c r="AF24" i="24"/>
  <c r="AD24" i="24"/>
  <c r="AC24" i="24"/>
  <c r="Y24" i="24"/>
  <c r="X24" i="24"/>
  <c r="S24" i="24"/>
  <c r="R24" i="24"/>
  <c r="Q24" i="24"/>
  <c r="P24" i="24"/>
  <c r="O24" i="24"/>
  <c r="N24" i="24"/>
  <c r="M24" i="24"/>
  <c r="L24" i="24"/>
  <c r="K24" i="24"/>
  <c r="D24" i="24"/>
  <c r="A24" i="24"/>
  <c r="J24" i="24" s="1"/>
  <c r="AM23" i="24"/>
  <c r="AL23" i="24"/>
  <c r="AK23" i="24"/>
  <c r="AJ23" i="24"/>
  <c r="AI23" i="24"/>
  <c r="AH23" i="24"/>
  <c r="AG23" i="24"/>
  <c r="AF23" i="24"/>
  <c r="AD23" i="24"/>
  <c r="AC23" i="24"/>
  <c r="Z23" i="24"/>
  <c r="Y23" i="24"/>
  <c r="X23" i="24"/>
  <c r="S23" i="24"/>
  <c r="R23" i="24"/>
  <c r="Q23" i="24"/>
  <c r="P23" i="24"/>
  <c r="O23" i="24"/>
  <c r="N23" i="24"/>
  <c r="M23" i="24"/>
  <c r="L23" i="24"/>
  <c r="K23" i="24"/>
  <c r="A23" i="24"/>
  <c r="J23" i="24" s="1"/>
  <c r="AM22" i="24"/>
  <c r="AL22" i="24"/>
  <c r="AK22" i="24"/>
  <c r="AJ22" i="24"/>
  <c r="AI22" i="24"/>
  <c r="AH22" i="24"/>
  <c r="AG22" i="24"/>
  <c r="AF22" i="24"/>
  <c r="AD22" i="24"/>
  <c r="AC22" i="24"/>
  <c r="Z22" i="24"/>
  <c r="Y22" i="24"/>
  <c r="X22" i="24"/>
  <c r="S22" i="24"/>
  <c r="R22" i="24"/>
  <c r="Q22" i="24"/>
  <c r="P22" i="24"/>
  <c r="O22" i="24"/>
  <c r="N22" i="24"/>
  <c r="M22" i="24"/>
  <c r="L22" i="24"/>
  <c r="K22" i="24"/>
  <c r="A22" i="24"/>
  <c r="J22" i="24" s="1"/>
  <c r="AM21" i="24"/>
  <c r="AL21" i="24"/>
  <c r="AK21" i="24"/>
  <c r="AJ21" i="24"/>
  <c r="AI21" i="24"/>
  <c r="AH21" i="24"/>
  <c r="AG21" i="24"/>
  <c r="AF21" i="24"/>
  <c r="AD21" i="24"/>
  <c r="AC21" i="24"/>
  <c r="Z21" i="24"/>
  <c r="Y21" i="24"/>
  <c r="X21" i="24"/>
  <c r="S21" i="24"/>
  <c r="R21" i="24"/>
  <c r="Q21" i="24"/>
  <c r="P21" i="24"/>
  <c r="O21" i="24"/>
  <c r="N21" i="24"/>
  <c r="M21" i="24"/>
  <c r="L21" i="24"/>
  <c r="K21" i="24"/>
  <c r="A21" i="24"/>
  <c r="I21" i="24" s="1"/>
  <c r="AM20" i="24"/>
  <c r="AL20" i="24"/>
  <c r="AK20" i="24"/>
  <c r="AJ20" i="24"/>
  <c r="AI20" i="24"/>
  <c r="AH20" i="24"/>
  <c r="AG20" i="24"/>
  <c r="AF20" i="24"/>
  <c r="AD20" i="24"/>
  <c r="AC20" i="24"/>
  <c r="Z20" i="24"/>
  <c r="Y20" i="24"/>
  <c r="X20" i="24"/>
  <c r="S20" i="24"/>
  <c r="R20" i="24"/>
  <c r="Q20" i="24"/>
  <c r="P20" i="24"/>
  <c r="O20" i="24"/>
  <c r="N20" i="24"/>
  <c r="M20" i="24"/>
  <c r="L20" i="24"/>
  <c r="K20" i="24"/>
  <c r="A20" i="24"/>
  <c r="J20" i="24" s="1"/>
  <c r="AM19" i="24"/>
  <c r="AL19" i="24"/>
  <c r="AK19" i="24"/>
  <c r="AJ19" i="24"/>
  <c r="AI19" i="24"/>
  <c r="AH19" i="24"/>
  <c r="AG19" i="24"/>
  <c r="AF19" i="24"/>
  <c r="AD19" i="24"/>
  <c r="AC19" i="24"/>
  <c r="Z19" i="24"/>
  <c r="Y19" i="24"/>
  <c r="X19" i="24"/>
  <c r="S19" i="24"/>
  <c r="R19" i="24"/>
  <c r="Q19" i="24"/>
  <c r="P19" i="24"/>
  <c r="O19" i="24"/>
  <c r="N19" i="24"/>
  <c r="M19" i="24"/>
  <c r="L19" i="24"/>
  <c r="K19" i="24"/>
  <c r="A19" i="24"/>
  <c r="J19" i="24" s="1"/>
  <c r="AM18" i="24"/>
  <c r="AL18" i="24"/>
  <c r="AK18" i="24"/>
  <c r="AJ18" i="24"/>
  <c r="AI18" i="24"/>
  <c r="AH18" i="24"/>
  <c r="AG18" i="24"/>
  <c r="AF18" i="24"/>
  <c r="AD18" i="24"/>
  <c r="AC18" i="24"/>
  <c r="Z18" i="24"/>
  <c r="Y18" i="24"/>
  <c r="X18" i="24"/>
  <c r="S18" i="24"/>
  <c r="R18" i="24"/>
  <c r="Q18" i="24"/>
  <c r="P18" i="24"/>
  <c r="O18" i="24"/>
  <c r="N18" i="24"/>
  <c r="M18" i="24"/>
  <c r="L18" i="24"/>
  <c r="K18" i="24"/>
  <c r="A18" i="24"/>
  <c r="J18" i="24" s="1"/>
  <c r="AM17" i="24"/>
  <c r="AL17" i="24"/>
  <c r="AK17" i="24"/>
  <c r="AJ17" i="24"/>
  <c r="AI17" i="24"/>
  <c r="AH17" i="24"/>
  <c r="AG17" i="24"/>
  <c r="AF17" i="24"/>
  <c r="AE17" i="24"/>
  <c r="AD17" i="24"/>
  <c r="AC17" i="24"/>
  <c r="Z17" i="24"/>
  <c r="Y17" i="24"/>
  <c r="X17" i="24"/>
  <c r="S17" i="24"/>
  <c r="R17" i="24"/>
  <c r="Q17" i="24"/>
  <c r="P17" i="24"/>
  <c r="O17" i="24"/>
  <c r="N17" i="24"/>
  <c r="M17" i="24"/>
  <c r="L17" i="24"/>
  <c r="K17" i="24"/>
  <c r="A17" i="24"/>
  <c r="J17" i="24" s="1"/>
  <c r="AM16" i="24"/>
  <c r="AL16" i="24"/>
  <c r="AK16" i="24"/>
  <c r="AJ16" i="24"/>
  <c r="AI16" i="24"/>
  <c r="AH16" i="24"/>
  <c r="AG16" i="24"/>
  <c r="AF16" i="24"/>
  <c r="AE16" i="24"/>
  <c r="AD16" i="24"/>
  <c r="AC16" i="24"/>
  <c r="Y16" i="24"/>
  <c r="X16" i="24"/>
  <c r="S16" i="24"/>
  <c r="R16" i="24"/>
  <c r="Q16" i="24"/>
  <c r="P16" i="24"/>
  <c r="O16" i="24"/>
  <c r="N16" i="24"/>
  <c r="M16" i="24"/>
  <c r="L16" i="24"/>
  <c r="K16" i="24"/>
  <c r="C16" i="24"/>
  <c r="A16" i="24"/>
  <c r="J16" i="24" s="1"/>
  <c r="AM15" i="24"/>
  <c r="AL15" i="24"/>
  <c r="AK15" i="24"/>
  <c r="AJ15" i="24"/>
  <c r="AI15" i="24"/>
  <c r="AH15" i="24"/>
  <c r="AG15" i="24"/>
  <c r="AF15" i="24"/>
  <c r="AD15" i="24"/>
  <c r="AC15" i="24"/>
  <c r="Z15" i="24"/>
  <c r="Y15" i="24"/>
  <c r="X15" i="24"/>
  <c r="S15" i="24"/>
  <c r="R15" i="24"/>
  <c r="Q15" i="24"/>
  <c r="P15" i="24"/>
  <c r="O15" i="24"/>
  <c r="N15" i="24"/>
  <c r="M15" i="24"/>
  <c r="L15" i="24"/>
  <c r="K15" i="24"/>
  <c r="D15" i="24"/>
  <c r="A15" i="24"/>
  <c r="J15" i="24" s="1"/>
  <c r="AM14" i="24"/>
  <c r="AL14" i="24"/>
  <c r="AK14" i="24"/>
  <c r="AJ14" i="24"/>
  <c r="AI14" i="24"/>
  <c r="AH14" i="24"/>
  <c r="AG14" i="24"/>
  <c r="AF14" i="24"/>
  <c r="AD14" i="24"/>
  <c r="AC14" i="24"/>
  <c r="Z14" i="24"/>
  <c r="Y14" i="24"/>
  <c r="X14" i="24"/>
  <c r="S14" i="24"/>
  <c r="R14" i="24"/>
  <c r="Q14" i="24"/>
  <c r="P14" i="24"/>
  <c r="O14" i="24"/>
  <c r="N14" i="24"/>
  <c r="M14" i="24"/>
  <c r="L14" i="24"/>
  <c r="K14" i="24"/>
  <c r="A14" i="24"/>
  <c r="J14" i="24" s="1"/>
  <c r="AM13" i="24"/>
  <c r="AL13" i="24"/>
  <c r="AK13" i="24"/>
  <c r="AJ13" i="24"/>
  <c r="AI13" i="24"/>
  <c r="AH13" i="24"/>
  <c r="AG13" i="24"/>
  <c r="AF13" i="24"/>
  <c r="AD13" i="24"/>
  <c r="AC13" i="24"/>
  <c r="Y13" i="24"/>
  <c r="X13" i="24"/>
  <c r="S13" i="24"/>
  <c r="R13" i="24"/>
  <c r="Q13" i="24"/>
  <c r="P13" i="24"/>
  <c r="O13" i="24"/>
  <c r="N13" i="24"/>
  <c r="M13" i="24"/>
  <c r="L13" i="24"/>
  <c r="K13" i="24"/>
  <c r="D13" i="24"/>
  <c r="A13" i="24"/>
  <c r="J13" i="24" s="1"/>
  <c r="AM12" i="24"/>
  <c r="AL12" i="24"/>
  <c r="AK12" i="24"/>
  <c r="AJ12" i="24"/>
  <c r="AI12" i="24"/>
  <c r="AH12" i="24"/>
  <c r="AG12" i="24"/>
  <c r="AF12" i="24"/>
  <c r="AE12" i="24"/>
  <c r="AD12" i="24"/>
  <c r="AC12" i="24"/>
  <c r="Y12" i="24"/>
  <c r="X12" i="24"/>
  <c r="S12" i="24"/>
  <c r="R12" i="24"/>
  <c r="Q12" i="24"/>
  <c r="P12" i="24"/>
  <c r="O12" i="24"/>
  <c r="N12" i="24"/>
  <c r="M12" i="24"/>
  <c r="L12" i="24"/>
  <c r="K12" i="24"/>
  <c r="C12" i="24"/>
  <c r="A12" i="24"/>
  <c r="J12" i="24" s="1"/>
  <c r="AM11" i="24"/>
  <c r="AL11" i="24"/>
  <c r="AK11" i="24"/>
  <c r="AJ11" i="24"/>
  <c r="AI11" i="24"/>
  <c r="AH11" i="24"/>
  <c r="AG11" i="24"/>
  <c r="AF11" i="24"/>
  <c r="AD11" i="24"/>
  <c r="AC11" i="24"/>
  <c r="Y11" i="24"/>
  <c r="X11" i="24"/>
  <c r="S11" i="24"/>
  <c r="R11" i="24"/>
  <c r="Q11" i="24"/>
  <c r="P11" i="24"/>
  <c r="O11" i="24"/>
  <c r="N11" i="24"/>
  <c r="M11" i="24"/>
  <c r="L11" i="24"/>
  <c r="K11" i="24"/>
  <c r="A11" i="24"/>
  <c r="J11" i="24" s="1"/>
  <c r="AM10" i="24"/>
  <c r="AL10" i="24"/>
  <c r="AK10" i="24"/>
  <c r="AJ10" i="24"/>
  <c r="AI10" i="24"/>
  <c r="AH10" i="24"/>
  <c r="AG10" i="24"/>
  <c r="AF10" i="24"/>
  <c r="AE10" i="24"/>
  <c r="AD10" i="24"/>
  <c r="AC10" i="24"/>
  <c r="Z10" i="24"/>
  <c r="Y10" i="24"/>
  <c r="X10" i="24"/>
  <c r="S10" i="24"/>
  <c r="R10" i="24"/>
  <c r="Q10" i="24"/>
  <c r="P10" i="24"/>
  <c r="O10" i="24"/>
  <c r="N10" i="24"/>
  <c r="M10" i="24"/>
  <c r="L10" i="24"/>
  <c r="K10" i="24"/>
  <c r="C10" i="24"/>
  <c r="A10" i="24"/>
  <c r="J10" i="24" s="1"/>
  <c r="AM9" i="24"/>
  <c r="AL9" i="24"/>
  <c r="AK9" i="24"/>
  <c r="AJ9" i="24"/>
  <c r="AI9" i="24"/>
  <c r="AH9" i="24"/>
  <c r="AG9" i="24"/>
  <c r="AF9" i="24"/>
  <c r="AD9" i="24"/>
  <c r="AC9" i="24"/>
  <c r="Z9" i="24"/>
  <c r="Y9" i="24"/>
  <c r="X9" i="24"/>
  <c r="S9" i="24"/>
  <c r="R9" i="24"/>
  <c r="Q9" i="24"/>
  <c r="P9" i="24"/>
  <c r="O9" i="24"/>
  <c r="N9" i="24"/>
  <c r="M9" i="24"/>
  <c r="L9" i="24"/>
  <c r="K9" i="24"/>
  <c r="A9" i="24"/>
  <c r="G9" i="24" s="1"/>
  <c r="AM8" i="24"/>
  <c r="AL8" i="24"/>
  <c r="AK8" i="24"/>
  <c r="AJ8" i="24"/>
  <c r="AI8" i="24"/>
  <c r="AH8" i="24"/>
  <c r="AG8" i="24"/>
  <c r="AF8" i="24"/>
  <c r="AE8" i="24"/>
  <c r="AD8" i="24"/>
  <c r="AC8" i="24"/>
  <c r="Y8" i="24"/>
  <c r="X8" i="24"/>
  <c r="S8" i="24"/>
  <c r="R8" i="24"/>
  <c r="Q8" i="24"/>
  <c r="P8" i="24"/>
  <c r="O8" i="24"/>
  <c r="N8" i="24"/>
  <c r="M8" i="24"/>
  <c r="L8" i="24"/>
  <c r="K8" i="24"/>
  <c r="C8" i="24"/>
  <c r="A8" i="24"/>
  <c r="H8" i="24" s="1"/>
  <c r="AM7" i="24"/>
  <c r="AL7" i="24"/>
  <c r="AK7" i="24"/>
  <c r="AJ7" i="24"/>
  <c r="AI7" i="24"/>
  <c r="AH7" i="24"/>
  <c r="AG7" i="24"/>
  <c r="AF7" i="24"/>
  <c r="AD7" i="24"/>
  <c r="AC7" i="24"/>
  <c r="Z7" i="24"/>
  <c r="Y7" i="24"/>
  <c r="X7" i="24"/>
  <c r="S7" i="24"/>
  <c r="R7" i="24"/>
  <c r="Q7" i="24"/>
  <c r="P7" i="24"/>
  <c r="O7" i="24"/>
  <c r="N7" i="24"/>
  <c r="M7" i="24"/>
  <c r="L7" i="24"/>
  <c r="K7" i="24"/>
  <c r="A7" i="24"/>
  <c r="J7" i="24" s="1"/>
  <c r="AM6" i="24"/>
  <c r="AL6" i="24"/>
  <c r="AK6" i="24"/>
  <c r="AJ6" i="24"/>
  <c r="AI6" i="24"/>
  <c r="AH6" i="24"/>
  <c r="AG6" i="24"/>
  <c r="AF6" i="24"/>
  <c r="AD6" i="24"/>
  <c r="AC6" i="24"/>
  <c r="Z6" i="24"/>
  <c r="Y6" i="24"/>
  <c r="X6" i="24"/>
  <c r="S6" i="24"/>
  <c r="R6" i="24"/>
  <c r="Q6" i="24"/>
  <c r="P6" i="24"/>
  <c r="O6" i="24"/>
  <c r="N6" i="24"/>
  <c r="M6" i="24"/>
  <c r="L6" i="24"/>
  <c r="K6" i="24"/>
  <c r="C6" i="24"/>
  <c r="A6" i="24"/>
  <c r="J6" i="24" s="1"/>
  <c r="AM5" i="24"/>
  <c r="AL5" i="24"/>
  <c r="AK5" i="24"/>
  <c r="AJ5" i="24"/>
  <c r="AI5" i="24"/>
  <c r="AH5" i="24"/>
  <c r="AG5" i="24"/>
  <c r="AF5" i="24"/>
  <c r="AE5" i="24"/>
  <c r="AD5" i="24"/>
  <c r="AC5" i="24"/>
  <c r="Y5" i="24"/>
  <c r="X5" i="24"/>
  <c r="S5" i="24"/>
  <c r="R5" i="24"/>
  <c r="Q5" i="24"/>
  <c r="P5" i="24"/>
  <c r="O5" i="24"/>
  <c r="N5" i="24"/>
  <c r="M5" i="24"/>
  <c r="L5" i="24"/>
  <c r="K5" i="24"/>
  <c r="A5" i="24"/>
  <c r="AM4" i="24"/>
  <c r="AL4" i="24"/>
  <c r="AK4" i="24"/>
  <c r="AJ4" i="24"/>
  <c r="AI4" i="24"/>
  <c r="AH4" i="24"/>
  <c r="AG4" i="24"/>
  <c r="AF4" i="24"/>
  <c r="AD4" i="24"/>
  <c r="AC4" i="24"/>
  <c r="Z4" i="24"/>
  <c r="Y4" i="24"/>
  <c r="X4" i="24"/>
  <c r="S4" i="24"/>
  <c r="R4" i="24"/>
  <c r="Q4" i="24"/>
  <c r="P4" i="24"/>
  <c r="O4" i="24"/>
  <c r="N4" i="24"/>
  <c r="M4" i="24"/>
  <c r="L4" i="24"/>
  <c r="K4" i="24"/>
  <c r="C4" i="24"/>
  <c r="A4" i="24"/>
  <c r="H4" i="24" s="1"/>
  <c r="AM3" i="24"/>
  <c r="AL3" i="24"/>
  <c r="AK3" i="24"/>
  <c r="AJ3" i="24"/>
  <c r="AI3" i="24"/>
  <c r="AH3" i="24"/>
  <c r="AG3" i="24"/>
  <c r="AF3" i="24"/>
  <c r="AD3" i="24"/>
  <c r="AC3" i="24"/>
  <c r="Y3" i="24"/>
  <c r="X3" i="24"/>
  <c r="S3" i="24"/>
  <c r="R3" i="24"/>
  <c r="Q3" i="24"/>
  <c r="P3" i="24"/>
  <c r="O3" i="24"/>
  <c r="N3" i="24"/>
  <c r="M3" i="24"/>
  <c r="L3" i="24"/>
  <c r="K3" i="24"/>
  <c r="A3" i="24"/>
  <c r="J3" i="24" s="1"/>
  <c r="AM2" i="24"/>
  <c r="AL2" i="24"/>
  <c r="AK2" i="24"/>
  <c r="AJ2" i="24"/>
  <c r="AI2" i="24"/>
  <c r="AH2" i="24"/>
  <c r="AG2" i="24"/>
  <c r="AF2" i="24"/>
  <c r="AD2" i="24"/>
  <c r="AC2" i="24"/>
  <c r="Y2" i="24"/>
  <c r="X2" i="24"/>
  <c r="S2" i="24"/>
  <c r="R2" i="24"/>
  <c r="Q2" i="24"/>
  <c r="P2" i="24"/>
  <c r="O2" i="24"/>
  <c r="N2" i="24"/>
  <c r="M2" i="24"/>
  <c r="L2" i="24"/>
  <c r="K2" i="24"/>
  <c r="A2" i="24"/>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C193" i="14" s="1"/>
  <c r="AM30" i="8"/>
  <c r="AL30" i="8"/>
  <c r="AK30" i="8"/>
  <c r="AJ30" i="8"/>
  <c r="AI30" i="8"/>
  <c r="AH30" i="8"/>
  <c r="AG30" i="8"/>
  <c r="AF30" i="8"/>
  <c r="AD30" i="8"/>
  <c r="AC30" i="8"/>
  <c r="Z30" i="8"/>
  <c r="Y30" i="8"/>
  <c r="X30" i="8"/>
  <c r="S30" i="8"/>
  <c r="R30" i="8"/>
  <c r="Q30" i="8"/>
  <c r="P30" i="8"/>
  <c r="O30" i="8"/>
  <c r="N30" i="8"/>
  <c r="M30" i="8"/>
  <c r="L30" i="8"/>
  <c r="K30" i="8"/>
  <c r="D30" i="8"/>
  <c r="A30" i="8"/>
  <c r="F30" i="8" s="1"/>
  <c r="AM29" i="8"/>
  <c r="AL29" i="8"/>
  <c r="AK29" i="8"/>
  <c r="AJ29" i="8"/>
  <c r="AI29" i="8"/>
  <c r="AH29" i="8"/>
  <c r="AG29" i="8"/>
  <c r="AF29" i="8"/>
  <c r="AE29" i="8"/>
  <c r="AD29" i="8"/>
  <c r="AC29" i="8"/>
  <c r="Z29" i="8"/>
  <c r="Y29" i="8"/>
  <c r="X29" i="8"/>
  <c r="S29" i="8"/>
  <c r="R29" i="8"/>
  <c r="Q29" i="8"/>
  <c r="P29" i="8"/>
  <c r="O29" i="8"/>
  <c r="N29" i="8"/>
  <c r="M29" i="8"/>
  <c r="L29" i="8"/>
  <c r="K29" i="8"/>
  <c r="C29" i="8"/>
  <c r="A29" i="8"/>
  <c r="J29" i="8" s="1"/>
  <c r="AM28" i="8"/>
  <c r="AL28" i="8"/>
  <c r="AK28" i="8"/>
  <c r="AJ28" i="8"/>
  <c r="AI28" i="8"/>
  <c r="AH28" i="8"/>
  <c r="AG28" i="8"/>
  <c r="AF28" i="8"/>
  <c r="AE28" i="8"/>
  <c r="AD28" i="8"/>
  <c r="AC28" i="8"/>
  <c r="Z28" i="8"/>
  <c r="Y28" i="8"/>
  <c r="X28" i="8"/>
  <c r="S28" i="8"/>
  <c r="R28" i="8"/>
  <c r="Q28" i="8"/>
  <c r="P28" i="8"/>
  <c r="O28" i="8"/>
  <c r="N28" i="8"/>
  <c r="M28" i="8"/>
  <c r="L28" i="8"/>
  <c r="K28" i="8"/>
  <c r="A28" i="8"/>
  <c r="J28" i="8" s="1"/>
  <c r="AM27" i="8"/>
  <c r="AL27" i="8"/>
  <c r="AK27" i="8"/>
  <c r="AJ27" i="8"/>
  <c r="AI27" i="8"/>
  <c r="AH27" i="8"/>
  <c r="AG27" i="8"/>
  <c r="AF27" i="8"/>
  <c r="AD27" i="8"/>
  <c r="AC27" i="8"/>
  <c r="Z27" i="8"/>
  <c r="Y27" i="8"/>
  <c r="X27" i="8"/>
  <c r="S27" i="8"/>
  <c r="R27" i="8"/>
  <c r="Q27" i="8"/>
  <c r="P27" i="8"/>
  <c r="O27" i="8"/>
  <c r="N27" i="8"/>
  <c r="M27" i="8"/>
  <c r="L27" i="8"/>
  <c r="K27" i="8"/>
  <c r="D27" i="8"/>
  <c r="A27" i="8"/>
  <c r="H27" i="8" s="1"/>
  <c r="AM26" i="8"/>
  <c r="AL26" i="8"/>
  <c r="AK26" i="8"/>
  <c r="AJ26" i="8"/>
  <c r="AI26" i="8"/>
  <c r="AH26" i="8"/>
  <c r="AG26" i="8"/>
  <c r="AF26" i="8"/>
  <c r="AE26" i="8"/>
  <c r="AD26" i="8"/>
  <c r="AC26" i="8"/>
  <c r="Z26" i="8"/>
  <c r="Y26" i="8"/>
  <c r="X26" i="8"/>
  <c r="S26" i="8"/>
  <c r="R26" i="8"/>
  <c r="Q26" i="8"/>
  <c r="P26" i="8"/>
  <c r="O26" i="8"/>
  <c r="N26" i="8"/>
  <c r="M26" i="8"/>
  <c r="L26" i="8"/>
  <c r="K26" i="8"/>
  <c r="D26" i="8"/>
  <c r="C26" i="8"/>
  <c r="A26" i="8"/>
  <c r="F26" i="8" s="1"/>
  <c r="AM25" i="8"/>
  <c r="AL25" i="8"/>
  <c r="AK25" i="8"/>
  <c r="AJ25" i="8"/>
  <c r="AI25" i="8"/>
  <c r="AH25" i="8"/>
  <c r="AG25" i="8"/>
  <c r="AF25" i="8"/>
  <c r="AD25" i="8"/>
  <c r="AC25" i="8"/>
  <c r="Z25" i="8"/>
  <c r="Y25" i="8"/>
  <c r="X25" i="8"/>
  <c r="S25" i="8"/>
  <c r="R25" i="8"/>
  <c r="Q25" i="8"/>
  <c r="P25" i="8"/>
  <c r="O25" i="8"/>
  <c r="M25" i="8"/>
  <c r="L25" i="8"/>
  <c r="K25" i="8"/>
  <c r="D25" i="8"/>
  <c r="A25" i="8"/>
  <c r="J25" i="8" s="1"/>
  <c r="AM24" i="8"/>
  <c r="AL24" i="8"/>
  <c r="AK24" i="8"/>
  <c r="AJ24" i="8"/>
  <c r="AI24" i="8"/>
  <c r="AH24" i="8"/>
  <c r="AG24" i="8"/>
  <c r="AF24" i="8"/>
  <c r="AD24" i="8"/>
  <c r="AC24" i="8"/>
  <c r="Z24" i="8"/>
  <c r="Y24" i="8"/>
  <c r="X24" i="8"/>
  <c r="S24" i="8"/>
  <c r="R24" i="8"/>
  <c r="Q24" i="8"/>
  <c r="P24" i="8"/>
  <c r="O24" i="8"/>
  <c r="N24" i="8"/>
  <c r="M24" i="8"/>
  <c r="L24" i="8"/>
  <c r="K24" i="8"/>
  <c r="C24" i="8"/>
  <c r="A24" i="8"/>
  <c r="J24" i="8" s="1"/>
  <c r="AM23" i="8"/>
  <c r="AL23" i="8"/>
  <c r="AK23" i="8"/>
  <c r="AJ23" i="8"/>
  <c r="AI23" i="8"/>
  <c r="AH23" i="8"/>
  <c r="AG23" i="8"/>
  <c r="AF23" i="8"/>
  <c r="AD23" i="8"/>
  <c r="AC23" i="8"/>
  <c r="Z23" i="8"/>
  <c r="Y23" i="8"/>
  <c r="X23" i="8"/>
  <c r="S23" i="8"/>
  <c r="R23" i="8"/>
  <c r="Q23" i="8"/>
  <c r="P23" i="8"/>
  <c r="O23" i="8"/>
  <c r="N23" i="8"/>
  <c r="M23" i="8"/>
  <c r="L23" i="8"/>
  <c r="K23" i="8"/>
  <c r="D23" i="8"/>
  <c r="A23" i="8"/>
  <c r="H23" i="8" s="1"/>
  <c r="AM22" i="8"/>
  <c r="AL22" i="8"/>
  <c r="AK22" i="8"/>
  <c r="AJ22" i="8"/>
  <c r="AI22" i="8"/>
  <c r="AH22" i="8"/>
  <c r="AG22" i="8"/>
  <c r="AF22" i="8"/>
  <c r="AD22" i="8"/>
  <c r="AC22" i="8"/>
  <c r="Z22" i="8"/>
  <c r="Y22" i="8"/>
  <c r="X22" i="8"/>
  <c r="S22" i="8"/>
  <c r="R22" i="8"/>
  <c r="Q22" i="8"/>
  <c r="P22" i="8"/>
  <c r="O22" i="8"/>
  <c r="N22" i="8"/>
  <c r="M22" i="8"/>
  <c r="L22" i="8"/>
  <c r="K22" i="8"/>
  <c r="A22" i="8"/>
  <c r="F22" i="8" s="1"/>
  <c r="AM21" i="8"/>
  <c r="AL21" i="8"/>
  <c r="AK21" i="8"/>
  <c r="AJ21" i="8"/>
  <c r="AI21" i="8"/>
  <c r="AH21" i="8"/>
  <c r="AG21" i="8"/>
  <c r="AF21" i="8"/>
  <c r="AD21" i="8"/>
  <c r="AC21" i="8"/>
  <c r="Z21" i="8"/>
  <c r="Y21" i="8"/>
  <c r="X21" i="8"/>
  <c r="S21" i="8"/>
  <c r="R21" i="8"/>
  <c r="Q21" i="8"/>
  <c r="P21" i="8"/>
  <c r="O21" i="8"/>
  <c r="N21" i="8"/>
  <c r="M21" i="8"/>
  <c r="L21" i="8"/>
  <c r="K21" i="8"/>
  <c r="A21" i="8"/>
  <c r="AM20" i="8"/>
  <c r="AL20" i="8"/>
  <c r="AK20" i="8"/>
  <c r="AJ20" i="8"/>
  <c r="AI20" i="8"/>
  <c r="AH20" i="8"/>
  <c r="AG20" i="8"/>
  <c r="AF20" i="8"/>
  <c r="AD20" i="8"/>
  <c r="AC20" i="8"/>
  <c r="Z20" i="8"/>
  <c r="Y20" i="8"/>
  <c r="X20" i="8"/>
  <c r="S20" i="8"/>
  <c r="R20" i="8"/>
  <c r="Q20" i="8"/>
  <c r="P20" i="8"/>
  <c r="O20" i="8"/>
  <c r="N20" i="8"/>
  <c r="M20" i="8"/>
  <c r="L20" i="8"/>
  <c r="K20" i="8"/>
  <c r="D20" i="8"/>
  <c r="A20" i="8"/>
  <c r="J20" i="8" s="1"/>
  <c r="AM19" i="8"/>
  <c r="AL19" i="8"/>
  <c r="AK19" i="8"/>
  <c r="AJ19" i="8"/>
  <c r="AI19" i="8"/>
  <c r="AH19" i="8"/>
  <c r="AG19" i="8"/>
  <c r="AF19" i="8"/>
  <c r="AD19" i="8"/>
  <c r="AC19" i="8"/>
  <c r="Z19" i="8"/>
  <c r="Y19" i="8"/>
  <c r="X19" i="8"/>
  <c r="S19" i="8"/>
  <c r="R19" i="8"/>
  <c r="Q19" i="8"/>
  <c r="P19" i="8"/>
  <c r="O19" i="8"/>
  <c r="N19" i="8"/>
  <c r="M19" i="8"/>
  <c r="L19" i="8"/>
  <c r="K19" i="8"/>
  <c r="A19" i="8"/>
  <c r="AM18" i="8"/>
  <c r="AL18" i="8"/>
  <c r="AK18" i="8"/>
  <c r="AJ18" i="8"/>
  <c r="AI18" i="8"/>
  <c r="AH18" i="8"/>
  <c r="AG18" i="8"/>
  <c r="AF18" i="8"/>
  <c r="AD18" i="8"/>
  <c r="AC18" i="8"/>
  <c r="Z18" i="8"/>
  <c r="Y18" i="8"/>
  <c r="X18" i="8"/>
  <c r="S18" i="8"/>
  <c r="R18" i="8"/>
  <c r="Q18" i="8"/>
  <c r="P18" i="8"/>
  <c r="O18" i="8"/>
  <c r="N18" i="8"/>
  <c r="M18" i="8"/>
  <c r="L18" i="8"/>
  <c r="K18" i="8"/>
  <c r="A18" i="8"/>
  <c r="F18" i="8" s="1"/>
  <c r="AM17" i="8"/>
  <c r="AL17" i="8"/>
  <c r="AK17" i="8"/>
  <c r="AJ17" i="8"/>
  <c r="AI17" i="8"/>
  <c r="AH17" i="8"/>
  <c r="AG17" i="8"/>
  <c r="AF17" i="8"/>
  <c r="AE17" i="8"/>
  <c r="AD17" i="8"/>
  <c r="AC17" i="8"/>
  <c r="Z17" i="8"/>
  <c r="Y17" i="8"/>
  <c r="X17" i="8"/>
  <c r="S17" i="8"/>
  <c r="R17" i="8"/>
  <c r="Q17" i="8"/>
  <c r="P17" i="8"/>
  <c r="O17" i="8"/>
  <c r="N17" i="8"/>
  <c r="M17" i="8"/>
  <c r="L17" i="8"/>
  <c r="K17" i="8"/>
  <c r="A17" i="8"/>
  <c r="AM16" i="8"/>
  <c r="AL16" i="8"/>
  <c r="AK16" i="8"/>
  <c r="AJ16" i="8"/>
  <c r="AI16" i="8"/>
  <c r="AH16" i="8"/>
  <c r="AG16" i="8"/>
  <c r="AF16" i="8"/>
  <c r="AD16" i="8"/>
  <c r="AC16" i="8"/>
  <c r="Z16" i="8"/>
  <c r="Y16" i="8"/>
  <c r="X16" i="8"/>
  <c r="S16" i="8"/>
  <c r="R16" i="8"/>
  <c r="Q16" i="8"/>
  <c r="P16" i="8"/>
  <c r="O16" i="8"/>
  <c r="N16" i="8"/>
  <c r="M16" i="8"/>
  <c r="L16" i="8"/>
  <c r="K16" i="8"/>
  <c r="A16" i="8"/>
  <c r="J16" i="8" s="1"/>
  <c r="AM15" i="8"/>
  <c r="AL15" i="8"/>
  <c r="AK15" i="8"/>
  <c r="AJ15" i="8"/>
  <c r="AI15" i="8"/>
  <c r="AH15" i="8"/>
  <c r="AG15" i="8"/>
  <c r="AF15" i="8"/>
  <c r="AE15" i="8"/>
  <c r="AD15" i="8"/>
  <c r="AC15" i="8"/>
  <c r="Z15" i="8"/>
  <c r="Y15" i="8"/>
  <c r="X15" i="8"/>
  <c r="S15" i="8"/>
  <c r="R15" i="8"/>
  <c r="Q15" i="8"/>
  <c r="P15" i="8"/>
  <c r="O15" i="8"/>
  <c r="N15" i="8"/>
  <c r="M15" i="8"/>
  <c r="L15" i="8"/>
  <c r="K15" i="8"/>
  <c r="C15" i="8"/>
  <c r="A15" i="8"/>
  <c r="J15" i="8" s="1"/>
  <c r="AM14" i="8"/>
  <c r="AL14" i="8"/>
  <c r="AK14" i="8"/>
  <c r="AJ14" i="8"/>
  <c r="AI14" i="8"/>
  <c r="AH14" i="8"/>
  <c r="AG14" i="8"/>
  <c r="AF14" i="8"/>
  <c r="AD14" i="8"/>
  <c r="AC14" i="8"/>
  <c r="Z14" i="8"/>
  <c r="Y14" i="8"/>
  <c r="X14" i="8"/>
  <c r="S14" i="8"/>
  <c r="R14" i="8"/>
  <c r="Q14" i="8"/>
  <c r="P14" i="8"/>
  <c r="O14" i="8"/>
  <c r="N14" i="8"/>
  <c r="M14" i="8"/>
  <c r="L14" i="8"/>
  <c r="K14" i="8"/>
  <c r="C14" i="8"/>
  <c r="A14" i="8"/>
  <c r="F14" i="8" s="1"/>
  <c r="AM13" i="8"/>
  <c r="AL13" i="8"/>
  <c r="AK13" i="8"/>
  <c r="AJ13" i="8"/>
  <c r="AI13" i="8"/>
  <c r="AH13" i="8"/>
  <c r="AG13" i="8"/>
  <c r="AF13" i="8"/>
  <c r="AD13" i="8"/>
  <c r="AC13" i="8"/>
  <c r="Y13" i="8"/>
  <c r="X13" i="8"/>
  <c r="S13" i="8"/>
  <c r="R13" i="8"/>
  <c r="Q13" i="8"/>
  <c r="P13" i="8"/>
  <c r="O13" i="8"/>
  <c r="N13" i="8"/>
  <c r="M13" i="8"/>
  <c r="L13" i="8"/>
  <c r="K13" i="8"/>
  <c r="D13" i="8"/>
  <c r="A13" i="8"/>
  <c r="J13" i="8" s="1"/>
  <c r="AM12" i="8"/>
  <c r="AL12" i="8"/>
  <c r="AK12" i="8"/>
  <c r="AJ12" i="8"/>
  <c r="AI12" i="8"/>
  <c r="AH12" i="8"/>
  <c r="AG12" i="8"/>
  <c r="AF12" i="8"/>
  <c r="AE12" i="8"/>
  <c r="AD12" i="8"/>
  <c r="AC12" i="8"/>
  <c r="Y12" i="8"/>
  <c r="X12" i="8"/>
  <c r="S12" i="8"/>
  <c r="R12" i="8"/>
  <c r="Q12" i="8"/>
  <c r="P12" i="8"/>
  <c r="O12" i="8"/>
  <c r="N12" i="8"/>
  <c r="M12" i="8"/>
  <c r="L12" i="8"/>
  <c r="K12" i="8"/>
  <c r="C12" i="8"/>
  <c r="A12" i="8"/>
  <c r="J12" i="8" s="1"/>
  <c r="AM11" i="8"/>
  <c r="AL11" i="8"/>
  <c r="AK11" i="8"/>
  <c r="AJ11" i="8"/>
  <c r="AI11" i="8"/>
  <c r="AH11" i="8"/>
  <c r="AG11" i="8"/>
  <c r="AF11" i="8"/>
  <c r="AD11" i="8"/>
  <c r="AC11" i="8"/>
  <c r="Y11" i="8"/>
  <c r="X11" i="8"/>
  <c r="S11" i="8"/>
  <c r="R11" i="8"/>
  <c r="Q11" i="8"/>
  <c r="P11" i="8"/>
  <c r="O11" i="8"/>
  <c r="N11" i="8"/>
  <c r="M11" i="8"/>
  <c r="L11" i="8"/>
  <c r="K11" i="8"/>
  <c r="A11" i="8"/>
  <c r="AM10" i="8"/>
  <c r="AL10" i="8"/>
  <c r="AK10" i="8"/>
  <c r="AJ10" i="8"/>
  <c r="AI10" i="8"/>
  <c r="AH10" i="8"/>
  <c r="AG10" i="8"/>
  <c r="AF10" i="8"/>
  <c r="AD10" i="8"/>
  <c r="AC10" i="8"/>
  <c r="Y10" i="8"/>
  <c r="X10" i="8"/>
  <c r="S10" i="8"/>
  <c r="R10" i="8"/>
  <c r="Q10" i="8"/>
  <c r="P10" i="8"/>
  <c r="O10" i="8"/>
  <c r="N10" i="8"/>
  <c r="M10" i="8"/>
  <c r="L10" i="8"/>
  <c r="K10" i="8"/>
  <c r="D10" i="8"/>
  <c r="A10" i="8"/>
  <c r="F10" i="8" s="1"/>
  <c r="AM9" i="8"/>
  <c r="AL9" i="8"/>
  <c r="AK9" i="8"/>
  <c r="AJ9" i="8"/>
  <c r="AI9" i="8"/>
  <c r="AH9" i="8"/>
  <c r="AG9" i="8"/>
  <c r="AF9" i="8"/>
  <c r="AD9" i="8"/>
  <c r="AC9" i="8"/>
  <c r="Y9" i="8"/>
  <c r="X9" i="8"/>
  <c r="S9" i="8"/>
  <c r="R9" i="8"/>
  <c r="Q9" i="8"/>
  <c r="P9" i="8"/>
  <c r="O9" i="8"/>
  <c r="N9" i="8"/>
  <c r="M9" i="8"/>
  <c r="L9" i="8"/>
  <c r="K9" i="8"/>
  <c r="C9" i="8"/>
  <c r="A9" i="8"/>
  <c r="J9" i="8" s="1"/>
  <c r="AM8" i="8"/>
  <c r="AL8" i="8"/>
  <c r="AK8" i="8"/>
  <c r="AJ8" i="8"/>
  <c r="AI8" i="8"/>
  <c r="AH8" i="8"/>
  <c r="AG8" i="8"/>
  <c r="AF8" i="8"/>
  <c r="AE8" i="8"/>
  <c r="AD8" i="8"/>
  <c r="AC8" i="8"/>
  <c r="Y8" i="8"/>
  <c r="X8" i="8"/>
  <c r="S8" i="8"/>
  <c r="R8" i="8"/>
  <c r="Q8" i="8"/>
  <c r="P8" i="8"/>
  <c r="O8" i="8"/>
  <c r="N8" i="8"/>
  <c r="M8" i="8"/>
  <c r="L8" i="8"/>
  <c r="K8" i="8"/>
  <c r="C8" i="8"/>
  <c r="A8" i="8"/>
  <c r="J8" i="8" s="1"/>
  <c r="AM7" i="8"/>
  <c r="AL7" i="8"/>
  <c r="AK7" i="8"/>
  <c r="AJ7" i="8"/>
  <c r="AI7" i="8"/>
  <c r="AH7" i="8"/>
  <c r="AG7" i="8"/>
  <c r="AF7" i="8"/>
  <c r="AE7" i="8"/>
  <c r="AD7" i="8"/>
  <c r="AC7" i="8"/>
  <c r="Y7" i="8"/>
  <c r="X7" i="8"/>
  <c r="S7" i="8"/>
  <c r="R7" i="8"/>
  <c r="Q7" i="8"/>
  <c r="P7" i="8"/>
  <c r="O7" i="8"/>
  <c r="N7" i="8"/>
  <c r="M7" i="8"/>
  <c r="L7" i="8"/>
  <c r="K7" i="8"/>
  <c r="A7" i="8"/>
  <c r="H7" i="8" s="1"/>
  <c r="AM6" i="8"/>
  <c r="AL6" i="8"/>
  <c r="AK6" i="8"/>
  <c r="AJ6" i="8"/>
  <c r="AI6" i="8"/>
  <c r="AH6" i="8"/>
  <c r="AG6" i="8"/>
  <c r="AF6" i="8"/>
  <c r="AD6" i="8"/>
  <c r="AC6" i="8"/>
  <c r="Z6" i="8"/>
  <c r="Y6" i="8"/>
  <c r="X6" i="8"/>
  <c r="S6" i="8"/>
  <c r="R6" i="8"/>
  <c r="Q6" i="8"/>
  <c r="P6" i="8"/>
  <c r="O6" i="8"/>
  <c r="N6" i="8"/>
  <c r="M6" i="8"/>
  <c r="L6" i="8"/>
  <c r="K6" i="8"/>
  <c r="A6" i="8"/>
  <c r="F6" i="8" s="1"/>
  <c r="AM5" i="8"/>
  <c r="AL5" i="8"/>
  <c r="AK5" i="8"/>
  <c r="AJ5" i="8"/>
  <c r="AI5" i="8"/>
  <c r="AH5" i="8"/>
  <c r="AG5" i="8"/>
  <c r="AF5" i="8"/>
  <c r="AD5" i="8"/>
  <c r="AC5" i="8"/>
  <c r="Y5" i="8"/>
  <c r="X5" i="8"/>
  <c r="S5" i="8"/>
  <c r="R5" i="8"/>
  <c r="Q5" i="8"/>
  <c r="P5" i="8"/>
  <c r="O5" i="8"/>
  <c r="N5" i="8"/>
  <c r="M5" i="8"/>
  <c r="L5" i="8"/>
  <c r="K5" i="8"/>
  <c r="C5" i="8"/>
  <c r="A5" i="8"/>
  <c r="J5" i="8" s="1"/>
  <c r="AM4" i="8"/>
  <c r="AL4" i="8"/>
  <c r="AK4" i="8"/>
  <c r="AJ4" i="8"/>
  <c r="AI4" i="8"/>
  <c r="AH4" i="8"/>
  <c r="AG4" i="8"/>
  <c r="AF4" i="8"/>
  <c r="AE4" i="8"/>
  <c r="AD4" i="8"/>
  <c r="AC4" i="8"/>
  <c r="Z4" i="8"/>
  <c r="Y4" i="8"/>
  <c r="X4" i="8"/>
  <c r="S4" i="8"/>
  <c r="R4" i="8"/>
  <c r="Q4" i="8"/>
  <c r="P4" i="8"/>
  <c r="O4" i="8"/>
  <c r="N4" i="8"/>
  <c r="M4" i="8"/>
  <c r="L4" i="8"/>
  <c r="K4" i="8"/>
  <c r="C4" i="8"/>
  <c r="A4" i="8"/>
  <c r="J4" i="8" s="1"/>
  <c r="AM3" i="8"/>
  <c r="AL3" i="8"/>
  <c r="AK3" i="8"/>
  <c r="AJ3" i="8"/>
  <c r="AI3" i="8"/>
  <c r="AH3" i="8"/>
  <c r="AG3" i="8"/>
  <c r="AF3" i="8"/>
  <c r="AD3" i="8"/>
  <c r="AC3" i="8"/>
  <c r="Z3" i="8"/>
  <c r="Y3" i="8"/>
  <c r="X3" i="8"/>
  <c r="S3" i="8"/>
  <c r="R3" i="8"/>
  <c r="Q3" i="8"/>
  <c r="P3" i="8"/>
  <c r="O3" i="8"/>
  <c r="N3" i="8"/>
  <c r="M3" i="8"/>
  <c r="L3" i="8"/>
  <c r="K3" i="8"/>
  <c r="D3" i="8"/>
  <c r="C3" i="8"/>
  <c r="A3" i="8"/>
  <c r="H3" i="8" s="1"/>
  <c r="AM2" i="8"/>
  <c r="AL2" i="8"/>
  <c r="AK2" i="8"/>
  <c r="AJ2" i="8"/>
  <c r="AI2" i="8"/>
  <c r="AH2" i="8"/>
  <c r="AG2" i="8"/>
  <c r="AF2" i="8"/>
  <c r="AD2" i="8"/>
  <c r="AC2" i="8"/>
  <c r="Y2" i="8"/>
  <c r="X2" i="8"/>
  <c r="S2" i="8"/>
  <c r="R2" i="8"/>
  <c r="Q2" i="8"/>
  <c r="P2" i="8"/>
  <c r="O2" i="8"/>
  <c r="N2" i="8"/>
  <c r="M2" i="8"/>
  <c r="L2" i="8"/>
  <c r="K2" i="8"/>
  <c r="A2" i="8"/>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5" i="14"/>
  <c r="A4" i="14"/>
  <c r="G3" i="29" a="1"/>
  <c r="G3" i="29" s="1"/>
  <c r="D3" i="29"/>
  <c r="Y1" i="33"/>
  <c r="Y1" i="32"/>
  <c r="Y1" i="31"/>
  <c r="Y1" i="27"/>
  <c r="X1" i="26"/>
  <c r="D8" i="24" l="1"/>
  <c r="D9" i="24"/>
  <c r="C24" i="24"/>
  <c r="D29" i="8"/>
  <c r="D4" i="24"/>
  <c r="D21" i="24"/>
  <c r="C27" i="24"/>
  <c r="C27" i="8"/>
  <c r="AE28" i="24"/>
  <c r="AE24" i="8"/>
  <c r="D16" i="8"/>
  <c r="C17" i="8"/>
  <c r="D19" i="8"/>
  <c r="C20" i="8"/>
  <c r="AE20" i="8"/>
  <c r="C5" i="24"/>
  <c r="E34" i="7"/>
  <c r="E24" i="8" s="1"/>
  <c r="C2" i="24"/>
  <c r="C23" i="24"/>
  <c r="AE23" i="24"/>
  <c r="C2" i="8"/>
  <c r="C13" i="8"/>
  <c r="C15" i="24"/>
  <c r="C30" i="8"/>
  <c r="C9" i="24"/>
  <c r="E40" i="7"/>
  <c r="I26" i="24"/>
  <c r="C30" i="24"/>
  <c r="AE30" i="8"/>
  <c r="F10" i="32"/>
  <c r="F22" i="33"/>
  <c r="E13" i="7"/>
  <c r="F34" i="32"/>
  <c r="C23" i="8"/>
  <c r="C34" i="32"/>
  <c r="E16" i="33"/>
  <c r="H81" i="14"/>
  <c r="C20" i="24"/>
  <c r="C22" i="31"/>
  <c r="C27" i="31"/>
  <c r="C21" i="31"/>
  <c r="H5" i="8"/>
  <c r="E31" i="31"/>
  <c r="D21" i="31"/>
  <c r="E76" i="14"/>
  <c r="F13" i="8"/>
  <c r="F23" i="33"/>
  <c r="D31" i="31"/>
  <c r="C14" i="31"/>
  <c r="E13" i="33"/>
  <c r="K43" i="14"/>
  <c r="D14" i="31"/>
  <c r="C36" i="33"/>
  <c r="C15" i="31"/>
  <c r="C18" i="32"/>
  <c r="C35" i="33"/>
  <c r="C32" i="27"/>
  <c r="B14" i="14"/>
  <c r="I174" i="14"/>
  <c r="E6" i="7"/>
  <c r="C33" i="32"/>
  <c r="D27" i="31"/>
  <c r="E32" i="33"/>
  <c r="G61" i="14"/>
  <c r="E30" i="31"/>
  <c r="E14" i="31"/>
  <c r="E22" i="31"/>
  <c r="E27" i="31"/>
  <c r="E21" i="31"/>
  <c r="D14" i="32"/>
  <c r="C29" i="32"/>
  <c r="E36" i="33"/>
  <c r="F20" i="33"/>
  <c r="E15" i="33"/>
  <c r="C50" i="14"/>
  <c r="C99" i="14"/>
  <c r="C11" i="31"/>
  <c r="E33" i="31"/>
  <c r="E29" i="31"/>
  <c r="C25" i="31"/>
  <c r="E26" i="31"/>
  <c r="C28" i="32"/>
  <c r="F23" i="32"/>
  <c r="D29" i="32"/>
  <c r="F36" i="33"/>
  <c r="C11" i="33"/>
  <c r="F15" i="33"/>
  <c r="F55" i="14"/>
  <c r="E68" i="14"/>
  <c r="C101" i="14"/>
  <c r="G4" i="24"/>
  <c r="D11" i="31"/>
  <c r="C23" i="31"/>
  <c r="D24" i="31"/>
  <c r="D25" i="31"/>
  <c r="C28" i="31"/>
  <c r="F21" i="32"/>
  <c r="C8" i="32"/>
  <c r="F29" i="32"/>
  <c r="E29" i="33"/>
  <c r="E11" i="33"/>
  <c r="D10" i="14"/>
  <c r="F64" i="14"/>
  <c r="B69" i="14"/>
  <c r="F102" i="14"/>
  <c r="D12" i="31"/>
  <c r="C18" i="31"/>
  <c r="D28" i="31"/>
  <c r="F8" i="32"/>
  <c r="C8" i="33"/>
  <c r="C23" i="33"/>
  <c r="F27" i="14"/>
  <c r="B38" i="14"/>
  <c r="D70" i="14"/>
  <c r="F110" i="14"/>
  <c r="D34" i="32"/>
  <c r="D23" i="31"/>
  <c r="E25" i="31"/>
  <c r="C9" i="32"/>
  <c r="D19" i="14"/>
  <c r="E12" i="31"/>
  <c r="D17" i="31"/>
  <c r="D18" i="31"/>
  <c r="C16" i="31"/>
  <c r="E28" i="31"/>
  <c r="F31" i="32"/>
  <c r="C22" i="32"/>
  <c r="F9" i="32"/>
  <c r="E26" i="33"/>
  <c r="B12" i="14"/>
  <c r="B39" i="14"/>
  <c r="C71" i="14"/>
  <c r="B135" i="14"/>
  <c r="C24" i="27"/>
  <c r="C31" i="31"/>
  <c r="C35" i="31"/>
  <c r="E17" i="31"/>
  <c r="E18" i="31"/>
  <c r="E16" i="31"/>
  <c r="F16" i="32"/>
  <c r="F22" i="32"/>
  <c r="F31" i="33"/>
  <c r="B5" i="14"/>
  <c r="G40" i="14"/>
  <c r="E72" i="14"/>
  <c r="I168" i="14"/>
  <c r="H28" i="8"/>
  <c r="F30" i="33"/>
  <c r="G10" i="8"/>
  <c r="C18" i="8"/>
  <c r="C9" i="31"/>
  <c r="E11" i="31"/>
  <c r="D35" i="31"/>
  <c r="C20" i="31"/>
  <c r="E23" i="31"/>
  <c r="D15" i="31"/>
  <c r="C36" i="31"/>
  <c r="E24" i="31"/>
  <c r="F28" i="32"/>
  <c r="F11" i="32"/>
  <c r="C15" i="32"/>
  <c r="F33" i="32"/>
  <c r="F20" i="32"/>
  <c r="C30" i="32"/>
  <c r="C12" i="32"/>
  <c r="E21" i="33"/>
  <c r="F13" i="33"/>
  <c r="F29" i="33"/>
  <c r="F26" i="33"/>
  <c r="C33" i="33"/>
  <c r="E35" i="33"/>
  <c r="C14" i="33"/>
  <c r="F32" i="33"/>
  <c r="B27" i="14"/>
  <c r="F50" i="14"/>
  <c r="K50" i="14"/>
  <c r="F71" i="14"/>
  <c r="B77" i="14"/>
  <c r="D82" i="14"/>
  <c r="C103" i="14"/>
  <c r="C111" i="14"/>
  <c r="F136" i="14"/>
  <c r="J6" i="8"/>
  <c r="G16" i="24"/>
  <c r="C32" i="31"/>
  <c r="D20" i="31"/>
  <c r="F18" i="32"/>
  <c r="C25" i="32"/>
  <c r="C24" i="32"/>
  <c r="F15" i="32"/>
  <c r="C19" i="32"/>
  <c r="C32" i="32"/>
  <c r="C27" i="32"/>
  <c r="F12" i="32"/>
  <c r="F21" i="33"/>
  <c r="C17" i="33"/>
  <c r="E8" i="33"/>
  <c r="C34" i="33"/>
  <c r="F35" i="33"/>
  <c r="E28" i="33"/>
  <c r="F14" i="33"/>
  <c r="F7" i="14"/>
  <c r="B28" i="14"/>
  <c r="F39" i="14"/>
  <c r="K57" i="14"/>
  <c r="H77" i="14"/>
  <c r="F84" i="14"/>
  <c r="F104" i="14"/>
  <c r="F112" i="14"/>
  <c r="F138" i="14"/>
  <c r="F24" i="8"/>
  <c r="D10" i="24"/>
  <c r="H16" i="24"/>
  <c r="AE18" i="24"/>
  <c r="C13" i="31"/>
  <c r="E9" i="31"/>
  <c r="D32" i="31"/>
  <c r="C19" i="31"/>
  <c r="E20" i="31"/>
  <c r="D34" i="31"/>
  <c r="C8" i="31"/>
  <c r="E36" i="31"/>
  <c r="C10" i="31"/>
  <c r="C35" i="32"/>
  <c r="C36" i="32"/>
  <c r="F24" i="32"/>
  <c r="C26" i="32"/>
  <c r="F19" i="32"/>
  <c r="F27" i="32"/>
  <c r="F30" i="32"/>
  <c r="C25" i="33"/>
  <c r="E17" i="33"/>
  <c r="F8" i="33"/>
  <c r="E33" i="33"/>
  <c r="C10" i="33"/>
  <c r="F28" i="33"/>
  <c r="F11" i="33"/>
  <c r="B46" i="14"/>
  <c r="G60" i="14"/>
  <c r="B73" i="14"/>
  <c r="D78" i="14"/>
  <c r="F88" i="14"/>
  <c r="C105" i="14"/>
  <c r="C113" i="14"/>
  <c r="F139" i="14"/>
  <c r="C195" i="14"/>
  <c r="D12" i="8"/>
  <c r="D28" i="33" s="1"/>
  <c r="G20" i="8"/>
  <c r="G24" i="8"/>
  <c r="I10" i="24"/>
  <c r="C18" i="24"/>
  <c r="D9" i="31"/>
  <c r="E15" i="31"/>
  <c r="D13" i="31"/>
  <c r="E32" i="31"/>
  <c r="C33" i="31"/>
  <c r="E34" i="31"/>
  <c r="D8" i="31"/>
  <c r="C29" i="31"/>
  <c r="D10" i="31"/>
  <c r="C26" i="31"/>
  <c r="F35" i="32"/>
  <c r="F36" i="32"/>
  <c r="F25" i="32"/>
  <c r="C31" i="32"/>
  <c r="F26" i="32"/>
  <c r="C10" i="32"/>
  <c r="F32" i="32"/>
  <c r="C9" i="33"/>
  <c r="D25" i="33"/>
  <c r="F17" i="33"/>
  <c r="C27" i="33"/>
  <c r="E34" i="33"/>
  <c r="F33" i="33"/>
  <c r="E10" i="33"/>
  <c r="C12" i="33"/>
  <c r="E19" i="33"/>
  <c r="D15" i="14"/>
  <c r="B47" i="14"/>
  <c r="H73" i="14"/>
  <c r="C79" i="14"/>
  <c r="D95" i="14"/>
  <c r="F106" i="14"/>
  <c r="F118" i="14"/>
  <c r="G141" i="14"/>
  <c r="B206" i="14"/>
  <c r="C22" i="8"/>
  <c r="I24" i="8"/>
  <c r="G12" i="24"/>
  <c r="E35" i="31"/>
  <c r="C34" i="31"/>
  <c r="D36" i="31"/>
  <c r="C30" i="31"/>
  <c r="D19" i="31"/>
  <c r="E13" i="31"/>
  <c r="D30" i="31"/>
  <c r="C12" i="31"/>
  <c r="E19" i="31"/>
  <c r="D33" i="31"/>
  <c r="C17" i="31"/>
  <c r="E8" i="31"/>
  <c r="D29" i="31"/>
  <c r="E10" i="31"/>
  <c r="D26" i="31"/>
  <c r="C17" i="32"/>
  <c r="C14" i="32"/>
  <c r="C21" i="32"/>
  <c r="C13" i="32"/>
  <c r="C23" i="32"/>
  <c r="E9" i="33"/>
  <c r="E25" i="33"/>
  <c r="C24" i="33"/>
  <c r="E27" i="33"/>
  <c r="F34" i="33"/>
  <c r="C18" i="33"/>
  <c r="F10" i="33"/>
  <c r="E12" i="33"/>
  <c r="F19" i="33"/>
  <c r="C30" i="33"/>
  <c r="C41" i="14"/>
  <c r="G47" i="14"/>
  <c r="D74" i="14"/>
  <c r="F79" i="14"/>
  <c r="C107" i="14"/>
  <c r="G125" i="14"/>
  <c r="F143" i="14"/>
  <c r="G22" i="8"/>
  <c r="C7" i="24"/>
  <c r="F9" i="33"/>
  <c r="F25" i="33"/>
  <c r="C29" i="33"/>
  <c r="E24" i="33"/>
  <c r="F27" i="33"/>
  <c r="C31" i="33"/>
  <c r="E18" i="33"/>
  <c r="C22" i="33"/>
  <c r="F12" i="33"/>
  <c r="F25" i="14"/>
  <c r="B32" i="14"/>
  <c r="C42" i="14"/>
  <c r="G36" i="14"/>
  <c r="H69" i="14"/>
  <c r="C75" i="14"/>
  <c r="E80" i="14"/>
  <c r="F100" i="14"/>
  <c r="F108" i="14"/>
  <c r="G131" i="14"/>
  <c r="G152" i="14"/>
  <c r="C16" i="8"/>
  <c r="H22" i="8"/>
  <c r="G13" i="24"/>
  <c r="D22" i="31"/>
  <c r="C24" i="31"/>
  <c r="D16" i="31"/>
  <c r="F17" i="32"/>
  <c r="F14" i="32"/>
  <c r="C11" i="32"/>
  <c r="C16" i="32"/>
  <c r="F13" i="32"/>
  <c r="C20" i="32"/>
  <c r="C21" i="33"/>
  <c r="C13" i="33"/>
  <c r="F24" i="33"/>
  <c r="C26" i="33"/>
  <c r="E31" i="33"/>
  <c r="F18" i="33"/>
  <c r="E22" i="33"/>
  <c r="E20" i="33"/>
  <c r="F18" i="14"/>
  <c r="K42" i="14"/>
  <c r="C49" i="14"/>
  <c r="F75" i="14"/>
  <c r="B81" i="14"/>
  <c r="C109" i="14"/>
  <c r="B133" i="14"/>
  <c r="I162" i="14"/>
  <c r="I22" i="8"/>
  <c r="C220" i="14"/>
  <c r="I13" i="24"/>
  <c r="F30" i="24"/>
  <c r="D14" i="24"/>
  <c r="D22" i="8"/>
  <c r="B8" i="14"/>
  <c r="C12" i="14"/>
  <c r="C15" i="14"/>
  <c r="B20" i="14"/>
  <c r="F26" i="14"/>
  <c r="F29" i="14"/>
  <c r="G55" i="14"/>
  <c r="C38" i="14"/>
  <c r="K39" i="14"/>
  <c r="F45" i="14"/>
  <c r="B43" i="14"/>
  <c r="G50" i="14"/>
  <c r="C46" i="14"/>
  <c r="K47" i="14"/>
  <c r="F58" i="14"/>
  <c r="F57" i="14"/>
  <c r="C64" i="14"/>
  <c r="C69" i="14"/>
  <c r="E70" i="14"/>
  <c r="H71" i="14"/>
  <c r="C73" i="14"/>
  <c r="E74" i="14"/>
  <c r="H75" i="14"/>
  <c r="C77" i="14"/>
  <c r="E78" i="14"/>
  <c r="H79" i="14"/>
  <c r="C81" i="14"/>
  <c r="E82" i="14"/>
  <c r="B90" i="14"/>
  <c r="F99" i="14"/>
  <c r="F101" i="14"/>
  <c r="F103" i="14"/>
  <c r="F105" i="14"/>
  <c r="F107" i="14"/>
  <c r="F109" i="14"/>
  <c r="F111" i="14"/>
  <c r="F113" i="14"/>
  <c r="F130" i="14"/>
  <c r="F133" i="14"/>
  <c r="G136" i="14"/>
  <c r="G139" i="14"/>
  <c r="G143" i="14"/>
  <c r="G163" i="14"/>
  <c r="G169" i="14"/>
  <c r="G175" i="14"/>
  <c r="C196" i="14"/>
  <c r="F16" i="8"/>
  <c r="I20" i="8"/>
  <c r="I28" i="8"/>
  <c r="I11" i="24"/>
  <c r="E18" i="7"/>
  <c r="E27" i="7"/>
  <c r="C16" i="27"/>
  <c r="C28" i="33"/>
  <c r="C20" i="33"/>
  <c r="C19" i="33"/>
  <c r="E14" i="33"/>
  <c r="E30" i="33"/>
  <c r="F9" i="14"/>
  <c r="F13" i="14"/>
  <c r="F15" i="14"/>
  <c r="D26" i="14"/>
  <c r="E30" i="14"/>
  <c r="K36" i="14"/>
  <c r="F51" i="14"/>
  <c r="B40" i="14"/>
  <c r="G45" i="14"/>
  <c r="C43" i="14"/>
  <c r="K44" i="14"/>
  <c r="F42" i="14"/>
  <c r="B48" i="14"/>
  <c r="G58" i="14"/>
  <c r="B53" i="14"/>
  <c r="B68" i="14"/>
  <c r="D69" i="14"/>
  <c r="F70" i="14"/>
  <c r="B72" i="14"/>
  <c r="D73" i="14"/>
  <c r="F74" i="14"/>
  <c r="B76" i="14"/>
  <c r="D77" i="14"/>
  <c r="F78" i="14"/>
  <c r="B80" i="14"/>
  <c r="D81" i="14"/>
  <c r="F82" i="14"/>
  <c r="D91" i="14"/>
  <c r="G99" i="14"/>
  <c r="G101" i="14"/>
  <c r="G103" i="14"/>
  <c r="G105" i="14"/>
  <c r="G107" i="14"/>
  <c r="G109" i="14"/>
  <c r="G111" i="14"/>
  <c r="G113" i="14"/>
  <c r="G130" i="14"/>
  <c r="G133" i="14"/>
  <c r="B137" i="14"/>
  <c r="F140" i="14"/>
  <c r="F144" i="14"/>
  <c r="B164" i="14"/>
  <c r="I170" i="14"/>
  <c r="C180" i="14"/>
  <c r="C197" i="14"/>
  <c r="G16" i="8"/>
  <c r="C17" i="27"/>
  <c r="F10" i="14"/>
  <c r="B13" i="14"/>
  <c r="B16" i="14"/>
  <c r="F22" i="14"/>
  <c r="E26" i="14"/>
  <c r="C30" i="14"/>
  <c r="B37" i="14"/>
  <c r="G51" i="14"/>
  <c r="C40" i="14"/>
  <c r="K41" i="14"/>
  <c r="F52" i="14"/>
  <c r="B45" i="14"/>
  <c r="G42" i="14"/>
  <c r="C48" i="14"/>
  <c r="K49" i="14"/>
  <c r="G54" i="14"/>
  <c r="C68" i="14"/>
  <c r="E69" i="14"/>
  <c r="H70" i="14"/>
  <c r="C72" i="14"/>
  <c r="E73" i="14"/>
  <c r="H74" i="14"/>
  <c r="C76" i="14"/>
  <c r="E77" i="14"/>
  <c r="H78" i="14"/>
  <c r="C80" i="14"/>
  <c r="E81" i="14"/>
  <c r="H82" i="14"/>
  <c r="F92" i="14"/>
  <c r="B100" i="14"/>
  <c r="B102" i="14"/>
  <c r="B104" i="14"/>
  <c r="B106" i="14"/>
  <c r="B108" i="14"/>
  <c r="B110" i="14"/>
  <c r="B112" i="14"/>
  <c r="F114" i="14"/>
  <c r="B131" i="14"/>
  <c r="F134" i="14"/>
  <c r="F137" i="14"/>
  <c r="G140" i="14"/>
  <c r="G144" i="14"/>
  <c r="I164" i="14"/>
  <c r="G171" i="14"/>
  <c r="C184" i="14"/>
  <c r="B200" i="14"/>
  <c r="F4" i="8"/>
  <c r="I12" i="8"/>
  <c r="C33" i="27"/>
  <c r="C21" i="27"/>
  <c r="C16" i="33"/>
  <c r="C32" i="33"/>
  <c r="B4" i="14"/>
  <c r="B10" i="14"/>
  <c r="F14" i="14"/>
  <c r="F17" i="14"/>
  <c r="C22" i="14"/>
  <c r="E31" i="14"/>
  <c r="C37" i="14"/>
  <c r="K38" i="14"/>
  <c r="F61" i="14"/>
  <c r="B42" i="14"/>
  <c r="G52" i="14"/>
  <c r="C45" i="14"/>
  <c r="K46" i="14"/>
  <c r="F36" i="14"/>
  <c r="B50" i="14"/>
  <c r="C56" i="14"/>
  <c r="D68" i="14"/>
  <c r="F69" i="14"/>
  <c r="B71" i="14"/>
  <c r="D72" i="14"/>
  <c r="F73" i="14"/>
  <c r="B75" i="14"/>
  <c r="D76" i="14"/>
  <c r="F77" i="14"/>
  <c r="B79" i="14"/>
  <c r="D80" i="14"/>
  <c r="F81" i="14"/>
  <c r="D83" i="14"/>
  <c r="B94" i="14"/>
  <c r="C100" i="14"/>
  <c r="C102" i="14"/>
  <c r="C104" i="14"/>
  <c r="C106" i="14"/>
  <c r="C108" i="14"/>
  <c r="C110" i="14"/>
  <c r="C112" i="14"/>
  <c r="F116" i="14"/>
  <c r="F131" i="14"/>
  <c r="G134" i="14"/>
  <c r="G137" i="14"/>
  <c r="F141" i="14"/>
  <c r="F148" i="14"/>
  <c r="G165" i="14"/>
  <c r="B172" i="14"/>
  <c r="C188" i="14"/>
  <c r="B202" i="14"/>
  <c r="I4" i="8"/>
  <c r="I166" i="14"/>
  <c r="C172" i="14"/>
  <c r="C207" i="14"/>
  <c r="H25" i="8"/>
  <c r="F3" i="24"/>
  <c r="J9" i="24"/>
  <c r="C25" i="27"/>
  <c r="F6" i="14"/>
  <c r="D11" i="14"/>
  <c r="C14" i="14"/>
  <c r="C18" i="14"/>
  <c r="B24" i="14"/>
  <c r="C27" i="14"/>
  <c r="B36" i="14"/>
  <c r="G64" i="14"/>
  <c r="C39" i="14"/>
  <c r="K40" i="14"/>
  <c r="F63" i="14"/>
  <c r="B44" i="14"/>
  <c r="G39" i="14"/>
  <c r="C47" i="14"/>
  <c r="K48" i="14"/>
  <c r="F38" i="14"/>
  <c r="F59" i="14"/>
  <c r="F68" i="14"/>
  <c r="B70" i="14"/>
  <c r="D71" i="14"/>
  <c r="F72" i="14"/>
  <c r="B74" i="14"/>
  <c r="D75" i="14"/>
  <c r="F76" i="14"/>
  <c r="B78" i="14"/>
  <c r="D79" i="14"/>
  <c r="F80" i="14"/>
  <c r="B82" i="14"/>
  <c r="B86" i="14"/>
  <c r="F96" i="14"/>
  <c r="G100" i="14"/>
  <c r="G102" i="14"/>
  <c r="G104" i="14"/>
  <c r="G106" i="14"/>
  <c r="G108" i="14"/>
  <c r="G110" i="14"/>
  <c r="G112" i="14"/>
  <c r="F120" i="14"/>
  <c r="F132" i="14"/>
  <c r="F135" i="14"/>
  <c r="G138" i="14"/>
  <c r="F142" i="14"/>
  <c r="G157" i="14"/>
  <c r="G167" i="14"/>
  <c r="I172" i="14"/>
  <c r="B194" i="14"/>
  <c r="C212" i="14"/>
  <c r="C29" i="27"/>
  <c r="D12" i="33"/>
  <c r="E23" i="33"/>
  <c r="F16" i="33"/>
  <c r="C15" i="33"/>
  <c r="D7" i="14"/>
  <c r="C11" i="14"/>
  <c r="D14" i="14"/>
  <c r="E18" i="14"/>
  <c r="C24" i="14"/>
  <c r="C36" i="14"/>
  <c r="K37" i="14"/>
  <c r="F40" i="14"/>
  <c r="B41" i="14"/>
  <c r="G63" i="14"/>
  <c r="C44" i="14"/>
  <c r="K45" i="14"/>
  <c r="F47" i="14"/>
  <c r="B49" i="14"/>
  <c r="G38" i="14"/>
  <c r="B61" i="14"/>
  <c r="H68" i="14"/>
  <c r="C70" i="14"/>
  <c r="E71" i="14"/>
  <c r="H72" i="14"/>
  <c r="C74" i="14"/>
  <c r="E75" i="14"/>
  <c r="H76" i="14"/>
  <c r="C78" i="14"/>
  <c r="E79" i="14"/>
  <c r="H80" i="14"/>
  <c r="C82" i="14"/>
  <c r="D87" i="14"/>
  <c r="B99" i="14"/>
  <c r="B101" i="14"/>
  <c r="B103" i="14"/>
  <c r="B105" i="14"/>
  <c r="B107" i="14"/>
  <c r="B109" i="14"/>
  <c r="B111" i="14"/>
  <c r="B113" i="14"/>
  <c r="B123" i="14"/>
  <c r="G132" i="14"/>
  <c r="G135" i="14"/>
  <c r="B139" i="14"/>
  <c r="G142" i="14"/>
  <c r="G161" i="14"/>
  <c r="B168" i="14"/>
  <c r="G173" i="14"/>
  <c r="C194" i="14"/>
  <c r="I6" i="8"/>
  <c r="F20" i="8"/>
  <c r="J4" i="24"/>
  <c r="H10" i="24"/>
  <c r="E22" i="7"/>
  <c r="E15" i="8" s="1"/>
  <c r="E15" i="11" s="1"/>
  <c r="AE7" i="24"/>
  <c r="AE16" i="8"/>
  <c r="D4" i="14"/>
  <c r="E11" i="14"/>
  <c r="B25" i="14"/>
  <c r="C31" i="14"/>
  <c r="C219" i="14"/>
  <c r="F26" i="24"/>
  <c r="F11" i="14"/>
  <c r="E14" i="14"/>
  <c r="D18" i="14"/>
  <c r="E22" i="14"/>
  <c r="B26" i="14"/>
  <c r="C32" i="14"/>
  <c r="G4" i="8"/>
  <c r="G14" i="8"/>
  <c r="I16" i="8"/>
  <c r="I25" i="8"/>
  <c r="I6" i="24"/>
  <c r="G14" i="24"/>
  <c r="J21" i="24"/>
  <c r="E33" i="7"/>
  <c r="E23" i="8" s="1"/>
  <c r="E23" i="11" s="1"/>
  <c r="C26" i="14"/>
  <c r="H14" i="8"/>
  <c r="G26" i="8"/>
  <c r="I29" i="8"/>
  <c r="G8" i="24"/>
  <c r="F18" i="24"/>
  <c r="F7" i="24"/>
  <c r="J8" i="24"/>
  <c r="F15" i="24"/>
  <c r="G18" i="24"/>
  <c r="H23" i="24"/>
  <c r="C7" i="14"/>
  <c r="G8" i="8"/>
  <c r="H18" i="8"/>
  <c r="G7" i="24"/>
  <c r="G15" i="24"/>
  <c r="I18" i="24"/>
  <c r="I23" i="24"/>
  <c r="O7" i="7" a="1"/>
  <c r="O7" i="7" s="1"/>
  <c r="T4" i="8" s="1"/>
  <c r="E7" i="14"/>
  <c r="B11" i="14"/>
  <c r="C20" i="14"/>
  <c r="D24" i="14"/>
  <c r="G5" i="8"/>
  <c r="H8" i="8"/>
  <c r="H12" i="8"/>
  <c r="I18" i="8"/>
  <c r="H24" i="8"/>
  <c r="G27" i="8"/>
  <c r="G27" i="11" s="1"/>
  <c r="I3" i="24"/>
  <c r="H7" i="24"/>
  <c r="I9" i="24"/>
  <c r="I15" i="24"/>
  <c r="G29" i="24"/>
  <c r="I7" i="24"/>
  <c r="C31" i="27"/>
  <c r="B7" i="14"/>
  <c r="B9" i="14"/>
  <c r="E15" i="14"/>
  <c r="B18" i="14"/>
  <c r="F19" i="14"/>
  <c r="D22" i="14"/>
  <c r="D27" i="14"/>
  <c r="E27" i="14"/>
  <c r="B29" i="14"/>
  <c r="E6" i="24"/>
  <c r="E3" i="8"/>
  <c r="E8" i="7"/>
  <c r="D5" i="8"/>
  <c r="D23" i="33" s="1"/>
  <c r="D5" i="24"/>
  <c r="D9" i="8"/>
  <c r="D3" i="24"/>
  <c r="E25" i="7"/>
  <c r="D18" i="24"/>
  <c r="D18" i="8"/>
  <c r="D30" i="33" s="1"/>
  <c r="F30" i="14"/>
  <c r="B30" i="14"/>
  <c r="H174" i="14"/>
  <c r="C174" i="14"/>
  <c r="E24" i="7"/>
  <c r="D17" i="8"/>
  <c r="D31" i="32" s="1"/>
  <c r="D17" i="24"/>
  <c r="D23" i="14"/>
  <c r="C23" i="14"/>
  <c r="E21" i="7"/>
  <c r="D14" i="8"/>
  <c r="D22" i="24"/>
  <c r="E38" i="7"/>
  <c r="D26" i="24"/>
  <c r="B6" i="14"/>
  <c r="C10" i="14"/>
  <c r="C16" i="14"/>
  <c r="D20" i="14"/>
  <c r="B23" i="14"/>
  <c r="D30" i="14"/>
  <c r="D32" i="14"/>
  <c r="H162" i="14"/>
  <c r="C162" i="14"/>
  <c r="J21" i="8"/>
  <c r="I21" i="8"/>
  <c r="H21" i="8"/>
  <c r="G21" i="8"/>
  <c r="F21" i="8"/>
  <c r="Z7" i="8"/>
  <c r="Z16" i="24"/>
  <c r="C6" i="14"/>
  <c r="D16" i="14"/>
  <c r="F21" i="14"/>
  <c r="B21" i="14"/>
  <c r="E23" i="14"/>
  <c r="C206" i="14"/>
  <c r="C201" i="14"/>
  <c r="C218" i="14"/>
  <c r="C211" i="14"/>
  <c r="C200" i="14"/>
  <c r="C217" i="14"/>
  <c r="C210" i="14"/>
  <c r="C205" i="14"/>
  <c r="C216" i="14"/>
  <c r="C204" i="14"/>
  <c r="C199" i="14"/>
  <c r="C198" i="14"/>
  <c r="C203" i="14"/>
  <c r="C221" i="14"/>
  <c r="C213" i="14"/>
  <c r="C202" i="14"/>
  <c r="J2" i="24"/>
  <c r="I2" i="24"/>
  <c r="H2" i="24"/>
  <c r="G2" i="24"/>
  <c r="F2" i="24"/>
  <c r="D6" i="14"/>
  <c r="C8" i="14"/>
  <c r="E10" i="14"/>
  <c r="D12" i="14"/>
  <c r="B19" i="14"/>
  <c r="F23" i="14"/>
  <c r="C28" i="14"/>
  <c r="D31" i="14"/>
  <c r="F31" i="14"/>
  <c r="E12" i="7"/>
  <c r="D16" i="24"/>
  <c r="E16" i="7"/>
  <c r="D11" i="24"/>
  <c r="D11" i="8"/>
  <c r="D11" i="11" s="1"/>
  <c r="AE21" i="24"/>
  <c r="AE21" i="8"/>
  <c r="C4" i="14"/>
  <c r="E6" i="14"/>
  <c r="D8" i="14"/>
  <c r="B15" i="14"/>
  <c r="B17" i="14"/>
  <c r="C19" i="14"/>
  <c r="B22" i="14"/>
  <c r="D28" i="14"/>
  <c r="B31" i="14"/>
  <c r="H166" i="14"/>
  <c r="C166" i="14"/>
  <c r="AE2" i="24"/>
  <c r="AE2" i="8"/>
  <c r="AE27" i="24"/>
  <c r="AE27" i="8"/>
  <c r="E19" i="14"/>
  <c r="J17" i="8"/>
  <c r="I17" i="8"/>
  <c r="B188" i="14"/>
  <c r="B184" i="14"/>
  <c r="B180" i="14"/>
  <c r="B176" i="14"/>
  <c r="F157" i="14"/>
  <c r="G151" i="14"/>
  <c r="G147" i="14"/>
  <c r="F125" i="14"/>
  <c r="G122" i="14"/>
  <c r="C120" i="14"/>
  <c r="C118" i="14"/>
  <c r="C116" i="14"/>
  <c r="C114" i="14"/>
  <c r="E96" i="14"/>
  <c r="C95" i="14"/>
  <c r="H93" i="14"/>
  <c r="E92" i="14"/>
  <c r="C91" i="14"/>
  <c r="H89" i="14"/>
  <c r="E88" i="14"/>
  <c r="C87" i="14"/>
  <c r="H85" i="14"/>
  <c r="E84" i="14"/>
  <c r="C83" i="14"/>
  <c r="B64" i="14"/>
  <c r="F60" i="14"/>
  <c r="K60" i="14"/>
  <c r="C59" i="14"/>
  <c r="G41" i="14"/>
  <c r="B56" i="14"/>
  <c r="F54" i="14"/>
  <c r="K52" i="14"/>
  <c r="C51" i="14"/>
  <c r="H17" i="8"/>
  <c r="G187" i="14"/>
  <c r="G183" i="14"/>
  <c r="G179" i="14"/>
  <c r="G156" i="14"/>
  <c r="F151" i="14"/>
  <c r="F147" i="14"/>
  <c r="G127" i="14"/>
  <c r="B125" i="14"/>
  <c r="F122" i="14"/>
  <c r="B120" i="14"/>
  <c r="B118" i="14"/>
  <c r="B116" i="14"/>
  <c r="B114" i="14"/>
  <c r="D96" i="14"/>
  <c r="B95" i="14"/>
  <c r="F93" i="14"/>
  <c r="D92" i="14"/>
  <c r="B91" i="14"/>
  <c r="F89" i="14"/>
  <c r="D88" i="14"/>
  <c r="B87" i="14"/>
  <c r="F85" i="14"/>
  <c r="D84" i="14"/>
  <c r="B83" i="14"/>
  <c r="K63" i="14"/>
  <c r="C62" i="14"/>
  <c r="G62" i="14"/>
  <c r="B59" i="14"/>
  <c r="F41" i="14"/>
  <c r="K55" i="14"/>
  <c r="C54" i="14"/>
  <c r="G48" i="14"/>
  <c r="B51" i="14"/>
  <c r="G17" i="8"/>
  <c r="G17" i="11" s="1"/>
  <c r="I186" i="14"/>
  <c r="I182" i="14"/>
  <c r="I178" i="14"/>
  <c r="G155" i="14"/>
  <c r="G150" i="14"/>
  <c r="G146" i="14"/>
  <c r="F127" i="14"/>
  <c r="G124" i="14"/>
  <c r="B122" i="14"/>
  <c r="G119" i="14"/>
  <c r="G117" i="14"/>
  <c r="G115" i="14"/>
  <c r="C96" i="14"/>
  <c r="H94" i="14"/>
  <c r="E93" i="14"/>
  <c r="C92" i="14"/>
  <c r="H90" i="14"/>
  <c r="E89" i="14"/>
  <c r="C88" i="14"/>
  <c r="H86" i="14"/>
  <c r="E85" i="14"/>
  <c r="C84" i="14"/>
  <c r="G49" i="14"/>
  <c r="B62" i="14"/>
  <c r="F62" i="14"/>
  <c r="K58" i="14"/>
  <c r="C57" i="14"/>
  <c r="G46" i="14"/>
  <c r="B54" i="14"/>
  <c r="F48" i="14"/>
  <c r="F17" i="8"/>
  <c r="B210" i="14"/>
  <c r="H186" i="14"/>
  <c r="H182" i="14"/>
  <c r="H178" i="14"/>
  <c r="F155" i="14"/>
  <c r="F150" i="14"/>
  <c r="F146" i="14"/>
  <c r="B127" i="14"/>
  <c r="F124" i="14"/>
  <c r="G121" i="14"/>
  <c r="F119" i="14"/>
  <c r="F117" i="14"/>
  <c r="F115" i="14"/>
  <c r="B96" i="14"/>
  <c r="F94" i="14"/>
  <c r="D93" i="14"/>
  <c r="B92" i="14"/>
  <c r="F90" i="14"/>
  <c r="D89" i="14"/>
  <c r="B88" i="14"/>
  <c r="F86" i="14"/>
  <c r="D85" i="14"/>
  <c r="B84" i="14"/>
  <c r="F49" i="14"/>
  <c r="K61" i="14"/>
  <c r="C60" i="14"/>
  <c r="G44" i="14"/>
  <c r="B57" i="14"/>
  <c r="F46" i="14"/>
  <c r="K53" i="14"/>
  <c r="C52" i="14"/>
  <c r="C186" i="14"/>
  <c r="C178" i="14"/>
  <c r="G154" i="14"/>
  <c r="G149" i="14"/>
  <c r="G145" i="14"/>
  <c r="G126" i="14"/>
  <c r="B124" i="14"/>
  <c r="F121" i="14"/>
  <c r="C119" i="14"/>
  <c r="C117" i="14"/>
  <c r="C115" i="14"/>
  <c r="H95" i="14"/>
  <c r="E94" i="14"/>
  <c r="C93" i="14"/>
  <c r="H91" i="14"/>
  <c r="E90" i="14"/>
  <c r="C89" i="14"/>
  <c r="H87" i="14"/>
  <c r="E86" i="14"/>
  <c r="C85" i="14"/>
  <c r="H83" i="14"/>
  <c r="K64" i="14"/>
  <c r="C63" i="14"/>
  <c r="G53" i="14"/>
  <c r="B60" i="14"/>
  <c r="F44" i="14"/>
  <c r="K56" i="14"/>
  <c r="C55" i="14"/>
  <c r="G37" i="14"/>
  <c r="B52" i="14"/>
  <c r="G181" i="14"/>
  <c r="G177" i="14"/>
  <c r="G153" i="14"/>
  <c r="F149" i="14"/>
  <c r="F145" i="14"/>
  <c r="F126" i="14"/>
  <c r="G123" i="14"/>
  <c r="B121" i="14"/>
  <c r="B119" i="14"/>
  <c r="B117" i="14"/>
  <c r="B115" i="14"/>
  <c r="F95" i="14"/>
  <c r="D94" i="14"/>
  <c r="B93" i="14"/>
  <c r="F91" i="14"/>
  <c r="D90" i="14"/>
  <c r="B89" i="14"/>
  <c r="F87" i="14"/>
  <c r="D86" i="14"/>
  <c r="B85" i="14"/>
  <c r="F83" i="14"/>
  <c r="G43" i="14"/>
  <c r="B63" i="14"/>
  <c r="F53" i="14"/>
  <c r="K59" i="14"/>
  <c r="C58" i="14"/>
  <c r="G56" i="14"/>
  <c r="B55" i="14"/>
  <c r="F37" i="14"/>
  <c r="K51" i="14"/>
  <c r="B208" i="14"/>
  <c r="I188" i="14"/>
  <c r="I184" i="14"/>
  <c r="I180" i="14"/>
  <c r="I176" i="14"/>
  <c r="G158" i="14"/>
  <c r="F153" i="14"/>
  <c r="G148" i="14"/>
  <c r="B126" i="14"/>
  <c r="F123" i="14"/>
  <c r="G120" i="14"/>
  <c r="G118" i="14"/>
  <c r="G116" i="14"/>
  <c r="G114" i="14"/>
  <c r="H96" i="14"/>
  <c r="E95" i="14"/>
  <c r="C94" i="14"/>
  <c r="H92" i="14"/>
  <c r="E91" i="14"/>
  <c r="C90" i="14"/>
  <c r="H88" i="14"/>
  <c r="E87" i="14"/>
  <c r="C86" i="14"/>
  <c r="H84" i="14"/>
  <c r="E83" i="14"/>
  <c r="F43" i="14"/>
  <c r="K62" i="14"/>
  <c r="C61" i="14"/>
  <c r="G59" i="14"/>
  <c r="B58" i="14"/>
  <c r="F56" i="14"/>
  <c r="K54" i="14"/>
  <c r="C53" i="14"/>
  <c r="G57" i="14"/>
  <c r="J5" i="24"/>
  <c r="I5" i="24"/>
  <c r="G5" i="24"/>
  <c r="D2" i="8"/>
  <c r="D16" i="33" s="1"/>
  <c r="D2" i="24"/>
  <c r="E5" i="7"/>
  <c r="G13" i="8"/>
  <c r="C21" i="8"/>
  <c r="D24" i="8"/>
  <c r="D21" i="33" s="1"/>
  <c r="H26" i="8"/>
  <c r="H26" i="11" s="1"/>
  <c r="F29" i="8"/>
  <c r="F29" i="11" s="1"/>
  <c r="G30" i="8"/>
  <c r="G30" i="11" s="1"/>
  <c r="F6" i="24"/>
  <c r="F11" i="24"/>
  <c r="H12" i="24"/>
  <c r="H14" i="24"/>
  <c r="C19" i="24"/>
  <c r="E28" i="24"/>
  <c r="H30" i="24"/>
  <c r="E9" i="7"/>
  <c r="E26" i="7"/>
  <c r="E31" i="7"/>
  <c r="E35" i="7"/>
  <c r="G185" i="14"/>
  <c r="G189" i="14"/>
  <c r="B198" i="14"/>
  <c r="C208" i="14"/>
  <c r="C214" i="14"/>
  <c r="J3" i="8"/>
  <c r="J3" i="11" s="1"/>
  <c r="G6" i="8"/>
  <c r="G7" i="8"/>
  <c r="I8" i="8"/>
  <c r="F12" i="8"/>
  <c r="F12" i="11" s="1"/>
  <c r="H13" i="8"/>
  <c r="H13" i="11" s="1"/>
  <c r="F25" i="8"/>
  <c r="F25" i="11" s="1"/>
  <c r="I26" i="8"/>
  <c r="I26" i="11" s="1"/>
  <c r="F28" i="8"/>
  <c r="G29" i="8"/>
  <c r="H30" i="8"/>
  <c r="H30" i="11" s="1"/>
  <c r="G6" i="24"/>
  <c r="F10" i="24"/>
  <c r="G11" i="24"/>
  <c r="I14" i="24"/>
  <c r="G17" i="24"/>
  <c r="F23" i="24"/>
  <c r="C26" i="24"/>
  <c r="C29" i="24"/>
  <c r="I30" i="24"/>
  <c r="O5" i="7" a="1"/>
  <c r="O5" i="7" s="1"/>
  <c r="U8" i="7"/>
  <c r="E36" i="7"/>
  <c r="B204" i="14"/>
  <c r="C209" i="14"/>
  <c r="C215" i="14"/>
  <c r="H6" i="8"/>
  <c r="I7" i="8"/>
  <c r="G12" i="8"/>
  <c r="I13" i="8"/>
  <c r="G18" i="8"/>
  <c r="G18" i="11" s="1"/>
  <c r="G25" i="8"/>
  <c r="AE25" i="8"/>
  <c r="AC25" i="11" s="1"/>
  <c r="G28" i="8"/>
  <c r="H29" i="8"/>
  <c r="H29" i="11" s="1"/>
  <c r="I30" i="8"/>
  <c r="H3" i="24"/>
  <c r="H6" i="24"/>
  <c r="G10" i="24"/>
  <c r="H11" i="24"/>
  <c r="AE11" i="24"/>
  <c r="G23" i="24"/>
  <c r="F27" i="24"/>
  <c r="J30" i="24"/>
  <c r="U5" i="7"/>
  <c r="E17" i="7"/>
  <c r="C11" i="8"/>
  <c r="C11" i="11" s="1"/>
  <c r="F19" i="24"/>
  <c r="G20" i="24"/>
  <c r="F22" i="24"/>
  <c r="G27" i="24"/>
  <c r="O16" i="7" a="1"/>
  <c r="O16" i="7" s="1"/>
  <c r="O26" i="7" a="1"/>
  <c r="O26" i="7" s="1"/>
  <c r="G19" i="24"/>
  <c r="C21" i="24"/>
  <c r="G22" i="24"/>
  <c r="H27" i="24"/>
  <c r="O9" i="7" a="1"/>
  <c r="O9" i="7" s="1"/>
  <c r="Z26" i="7"/>
  <c r="O36" i="7" a="1"/>
  <c r="O36" i="7" s="1"/>
  <c r="C11" i="24"/>
  <c r="H19" i="24"/>
  <c r="H22" i="24"/>
  <c r="G26" i="24"/>
  <c r="I27" i="24"/>
  <c r="I29" i="24"/>
  <c r="Z9" i="7"/>
  <c r="E23" i="7"/>
  <c r="E39" i="7"/>
  <c r="B196" i="14"/>
  <c r="B212" i="14"/>
  <c r="H4" i="8"/>
  <c r="H4" i="11" s="1"/>
  <c r="F8" i="8"/>
  <c r="F8" i="11" s="1"/>
  <c r="I14" i="8"/>
  <c r="H16" i="8"/>
  <c r="H20" i="8"/>
  <c r="G23" i="8"/>
  <c r="G23" i="11" s="1"/>
  <c r="C25" i="8"/>
  <c r="F14" i="24"/>
  <c r="H15" i="24"/>
  <c r="H18" i="24"/>
  <c r="I19" i="24"/>
  <c r="I22" i="24"/>
  <c r="H26" i="24"/>
  <c r="E7" i="7"/>
  <c r="E15" i="7"/>
  <c r="AI30" i="11"/>
  <c r="W30" i="11"/>
  <c r="AJ29" i="11"/>
  <c r="W29" i="11"/>
  <c r="J29" i="11"/>
  <c r="AJ27" i="11"/>
  <c r="O27" i="11"/>
  <c r="AG26" i="11"/>
  <c r="X26" i="11"/>
  <c r="O26" i="11"/>
  <c r="F26" i="11"/>
  <c r="AH30" i="11"/>
  <c r="U30" i="11"/>
  <c r="AH29" i="11"/>
  <c r="U29" i="11"/>
  <c r="AI27" i="11"/>
  <c r="N27" i="11"/>
  <c r="D27" i="11"/>
  <c r="AF26" i="11"/>
  <c r="W26" i="11"/>
  <c r="N26" i="11"/>
  <c r="AH23" i="11"/>
  <c r="X23" i="11"/>
  <c r="O23" i="11"/>
  <c r="AF30" i="11"/>
  <c r="AF29" i="11"/>
  <c r="G29" i="11"/>
  <c r="AH27" i="11"/>
  <c r="W27" i="11"/>
  <c r="L27" i="11"/>
  <c r="C27" i="11"/>
  <c r="AE26" i="11"/>
  <c r="V26" i="11"/>
  <c r="M26" i="11"/>
  <c r="D26" i="11"/>
  <c r="AF23" i="11"/>
  <c r="W23" i="11"/>
  <c r="AE30" i="11"/>
  <c r="AE29" i="11"/>
  <c r="R29" i="11"/>
  <c r="AG27" i="11"/>
  <c r="V27" i="11"/>
  <c r="K27" i="11"/>
  <c r="B27" i="11"/>
  <c r="AD26" i="11"/>
  <c r="U26" i="11"/>
  <c r="L26" i="11"/>
  <c r="C26" i="11"/>
  <c r="AE23" i="11"/>
  <c r="V23" i="11"/>
  <c r="M23" i="11"/>
  <c r="D23" i="11"/>
  <c r="AC30" i="11"/>
  <c r="P30" i="11"/>
  <c r="C30" i="11"/>
  <c r="AC29" i="11"/>
  <c r="P29" i="11"/>
  <c r="D29" i="11"/>
  <c r="AD23" i="11"/>
  <c r="U23" i="11"/>
  <c r="L23" i="11"/>
  <c r="C23" i="11"/>
  <c r="AA30" i="11"/>
  <c r="AK29" i="11"/>
  <c r="Q27" i="11"/>
  <c r="AB26" i="11"/>
  <c r="G26" i="11"/>
  <c r="AA23" i="11"/>
  <c r="AI19" i="11"/>
  <c r="P19" i="11"/>
  <c r="U14" i="11"/>
  <c r="M14" i="11"/>
  <c r="AB29" i="11"/>
  <c r="AK28" i="11"/>
  <c r="B28" i="11"/>
  <c r="AA26" i="11"/>
  <c r="G24" i="11"/>
  <c r="H23" i="11"/>
  <c r="X30" i="11"/>
  <c r="H27" i="11"/>
  <c r="AF19" i="11"/>
  <c r="W19" i="11"/>
  <c r="N19" i="11"/>
  <c r="AI16" i="11"/>
  <c r="Q16" i="11"/>
  <c r="G16" i="11"/>
  <c r="AI15" i="11"/>
  <c r="O30" i="11"/>
  <c r="X29" i="11"/>
  <c r="M30" i="11"/>
  <c r="O29" i="11"/>
  <c r="AB27" i="11"/>
  <c r="Q26" i="11"/>
  <c r="AJ23" i="11"/>
  <c r="AD19" i="11"/>
  <c r="U19" i="11"/>
  <c r="L19" i="11"/>
  <c r="C19" i="11"/>
  <c r="K30" i="11"/>
  <c r="M29" i="11"/>
  <c r="AA27" i="11"/>
  <c r="AK26" i="11"/>
  <c r="P26" i="11"/>
  <c r="AI23" i="11"/>
  <c r="P23" i="11"/>
  <c r="B23" i="11"/>
  <c r="K19" i="11"/>
  <c r="B19" i="11"/>
  <c r="AE16" i="11"/>
  <c r="V16" i="11"/>
  <c r="M16" i="11"/>
  <c r="D16" i="11"/>
  <c r="AF15" i="11"/>
  <c r="W15" i="11"/>
  <c r="N15" i="11"/>
  <c r="D15" i="11"/>
  <c r="AF14" i="11"/>
  <c r="X14" i="11"/>
  <c r="B30" i="11"/>
  <c r="L29" i="11"/>
  <c r="M28" i="11"/>
  <c r="AJ26" i="11"/>
  <c r="AB25" i="11"/>
  <c r="J25" i="11"/>
  <c r="AC24" i="11"/>
  <c r="J24" i="11"/>
  <c r="AC23" i="11"/>
  <c r="P21" i="11"/>
  <c r="AA19" i="11"/>
  <c r="AC16" i="11"/>
  <c r="K16" i="11"/>
  <c r="AE15" i="11"/>
  <c r="P15" i="11"/>
  <c r="N14" i="11"/>
  <c r="C14" i="11"/>
  <c r="AI10" i="11"/>
  <c r="N10" i="11"/>
  <c r="C10" i="11"/>
  <c r="AD27" i="11"/>
  <c r="AJ25" i="11"/>
  <c r="I24" i="11"/>
  <c r="H22" i="11"/>
  <c r="O21" i="11"/>
  <c r="AB20" i="11"/>
  <c r="G20" i="11"/>
  <c r="X19" i="11"/>
  <c r="H18" i="11"/>
  <c r="H17" i="11"/>
  <c r="AA16" i="11"/>
  <c r="I16" i="11"/>
  <c r="AD15" i="11"/>
  <c r="L15" i="11"/>
  <c r="AK14" i="11"/>
  <c r="W14" i="11"/>
  <c r="L14" i="11"/>
  <c r="B14" i="11"/>
  <c r="AH12" i="11"/>
  <c r="M12" i="11"/>
  <c r="B12" i="11"/>
  <c r="AC11" i="11"/>
  <c r="AH10" i="11"/>
  <c r="W10" i="11"/>
  <c r="L10" i="11"/>
  <c r="B10" i="11"/>
  <c r="K6" i="11"/>
  <c r="B6" i="11"/>
  <c r="AE5" i="11"/>
  <c r="W5" i="11"/>
  <c r="O5" i="11"/>
  <c r="G5" i="11"/>
  <c r="AJ4" i="11"/>
  <c r="AB4" i="11"/>
  <c r="L4" i="11"/>
  <c r="D4" i="11"/>
  <c r="AD2" i="11"/>
  <c r="V2" i="11"/>
  <c r="AA25" i="11"/>
  <c r="I21" i="11"/>
  <c r="V19" i="11"/>
  <c r="D19" i="11"/>
  <c r="F16" i="11"/>
  <c r="AA15" i="11"/>
  <c r="K15" i="11"/>
  <c r="AJ14" i="11"/>
  <c r="V14" i="11"/>
  <c r="K14" i="11"/>
  <c r="AF10" i="11"/>
  <c r="V10" i="11"/>
  <c r="K10" i="11"/>
  <c r="AB9" i="11"/>
  <c r="Q9" i="11"/>
  <c r="AK30" i="11"/>
  <c r="AK23" i="11"/>
  <c r="F21" i="11"/>
  <c r="I25" i="11"/>
  <c r="AB23" i="11"/>
  <c r="AE21" i="11"/>
  <c r="D21" i="11"/>
  <c r="AJ19" i="11"/>
  <c r="B16" i="11"/>
  <c r="V15" i="11"/>
  <c r="AE14" i="11"/>
  <c r="H14" i="11"/>
  <c r="AD12" i="11"/>
  <c r="I12" i="11"/>
  <c r="AD10" i="11"/>
  <c r="AJ9" i="11"/>
  <c r="O9" i="11"/>
  <c r="B29" i="11"/>
  <c r="AI26" i="11"/>
  <c r="AB21" i="11"/>
  <c r="AH19" i="11"/>
  <c r="O19" i="11"/>
  <c r="AI18" i="11"/>
  <c r="Q18" i="11"/>
  <c r="AJ17" i="11"/>
  <c r="Q17" i="11"/>
  <c r="AJ16" i="11"/>
  <c r="AD14" i="11"/>
  <c r="G14" i="11"/>
  <c r="AI13" i="11"/>
  <c r="M13" i="11"/>
  <c r="C13" i="11"/>
  <c r="AC12" i="11"/>
  <c r="H12" i="11"/>
  <c r="AH11" i="11"/>
  <c r="W11" i="11"/>
  <c r="M11" i="11"/>
  <c r="B11" i="11"/>
  <c r="AB10" i="11"/>
  <c r="G10" i="11"/>
  <c r="AI9" i="11"/>
  <c r="N9" i="11"/>
  <c r="AH6" i="11"/>
  <c r="X6" i="11"/>
  <c r="O6" i="11"/>
  <c r="F6" i="11"/>
  <c r="AI5" i="11"/>
  <c r="AA5" i="11"/>
  <c r="K5" i="11"/>
  <c r="C5" i="11"/>
  <c r="AF4" i="11"/>
  <c r="X4" i="11"/>
  <c r="P4" i="11"/>
  <c r="AH2" i="11"/>
  <c r="B2" i="11"/>
  <c r="AK24" i="11"/>
  <c r="N23" i="11"/>
  <c r="AE19" i="11"/>
  <c r="M19" i="11"/>
  <c r="AG18" i="11"/>
  <c r="O18" i="11"/>
  <c r="AG17" i="11"/>
  <c r="O17" i="11"/>
  <c r="AH16" i="11"/>
  <c r="O16" i="11"/>
  <c r="AJ15" i="11"/>
  <c r="C15" i="11"/>
  <c r="AB14" i="11"/>
  <c r="P14" i="11"/>
  <c r="F14" i="11"/>
  <c r="AB12" i="11"/>
  <c r="Q12" i="11"/>
  <c r="AA10" i="11"/>
  <c r="P10" i="11"/>
  <c r="F10" i="11"/>
  <c r="AG9" i="11"/>
  <c r="W9" i="11"/>
  <c r="M9" i="11"/>
  <c r="D9" i="11"/>
  <c r="AF6" i="11"/>
  <c r="W6" i="11"/>
  <c r="N6" i="11"/>
  <c r="J5" i="11"/>
  <c r="B5" i="11"/>
  <c r="AE4" i="11"/>
  <c r="W4" i="11"/>
  <c r="O4" i="11"/>
  <c r="G4" i="11"/>
  <c r="L28" i="11"/>
  <c r="AA24" i="11"/>
  <c r="K23" i="11"/>
  <c r="AB19" i="11"/>
  <c r="AC18" i="11"/>
  <c r="K18" i="11"/>
  <c r="AD17" i="11"/>
  <c r="L17" i="11"/>
  <c r="AD16" i="11"/>
  <c r="L16" i="11"/>
  <c r="AH15" i="11"/>
  <c r="Q15" i="11"/>
  <c r="B15" i="11"/>
  <c r="AA14" i="11"/>
  <c r="O14" i="11"/>
  <c r="D14" i="11"/>
  <c r="AK12" i="11"/>
  <c r="P12" i="11"/>
  <c r="AJ10" i="11"/>
  <c r="O10" i="11"/>
  <c r="D10" i="11"/>
  <c r="AF9" i="11"/>
  <c r="U9" i="11"/>
  <c r="L9" i="11"/>
  <c r="C9" i="11"/>
  <c r="AE6" i="11"/>
  <c r="V6" i="11"/>
  <c r="M6" i="11"/>
  <c r="D6" i="11"/>
  <c r="AD4" i="11"/>
  <c r="V4" i="11"/>
  <c r="N4" i="11"/>
  <c r="F4" i="11"/>
  <c r="AF12" i="11"/>
  <c r="U16" i="11"/>
  <c r="U12" i="11"/>
  <c r="AE10" i="11"/>
  <c r="Q7" i="11"/>
  <c r="AK5" i="11"/>
  <c r="R4" i="11"/>
  <c r="C16" i="11"/>
  <c r="J12" i="11"/>
  <c r="AI8" i="11"/>
  <c r="H7" i="11"/>
  <c r="AC5" i="11"/>
  <c r="J4" i="11"/>
  <c r="AJ2" i="11"/>
  <c r="I2" i="8"/>
  <c r="G221" i="14"/>
  <c r="G219" i="14"/>
  <c r="G217" i="14"/>
  <c r="G215" i="14"/>
  <c r="G213" i="14"/>
  <c r="G211" i="14"/>
  <c r="G209" i="14"/>
  <c r="G207" i="14"/>
  <c r="G205" i="14"/>
  <c r="G203" i="14"/>
  <c r="G201" i="14"/>
  <c r="G199" i="14"/>
  <c r="G197" i="14"/>
  <c r="G195" i="14"/>
  <c r="G193" i="14"/>
  <c r="C189" i="14"/>
  <c r="I187" i="14"/>
  <c r="G186" i="14"/>
  <c r="C185" i="14"/>
  <c r="I183" i="14"/>
  <c r="G182" i="14"/>
  <c r="C181" i="14"/>
  <c r="I179" i="14"/>
  <c r="G178" i="14"/>
  <c r="C177" i="14"/>
  <c r="I175" i="14"/>
  <c r="G174" i="14"/>
  <c r="C173" i="14"/>
  <c r="I171" i="14"/>
  <c r="G170" i="14"/>
  <c r="C169" i="14"/>
  <c r="I167" i="14"/>
  <c r="G166" i="14"/>
  <c r="C165" i="14"/>
  <c r="I163" i="14"/>
  <c r="G162" i="14"/>
  <c r="C157" i="14"/>
  <c r="C155" i="14"/>
  <c r="C153" i="14"/>
  <c r="C151" i="14"/>
  <c r="C149" i="14"/>
  <c r="C147" i="14"/>
  <c r="C145" i="14"/>
  <c r="C143" i="14"/>
  <c r="C141" i="14"/>
  <c r="C139" i="14"/>
  <c r="C137" i="14"/>
  <c r="C135" i="14"/>
  <c r="C133" i="14"/>
  <c r="C131" i="14"/>
  <c r="C127" i="14"/>
  <c r="C125" i="14"/>
  <c r="C123" i="14"/>
  <c r="C121" i="14"/>
  <c r="AK13" i="11"/>
  <c r="U5" i="11"/>
  <c r="B4" i="11"/>
  <c r="AB2" i="11"/>
  <c r="H2" i="8"/>
  <c r="H2" i="11" s="1"/>
  <c r="F221" i="14"/>
  <c r="F219" i="14"/>
  <c r="F217" i="14"/>
  <c r="F215" i="14"/>
  <c r="F213" i="14"/>
  <c r="F211" i="14"/>
  <c r="F209" i="14"/>
  <c r="F207" i="14"/>
  <c r="F205" i="14"/>
  <c r="F203" i="14"/>
  <c r="F201" i="14"/>
  <c r="F199" i="14"/>
  <c r="F197" i="14"/>
  <c r="F195" i="14"/>
  <c r="F193" i="14"/>
  <c r="B189" i="14"/>
  <c r="H187" i="14"/>
  <c r="B185" i="14"/>
  <c r="H183" i="14"/>
  <c r="B181" i="14"/>
  <c r="H179" i="14"/>
  <c r="B177" i="14"/>
  <c r="H175" i="14"/>
  <c r="B173" i="14"/>
  <c r="H171" i="14"/>
  <c r="B169" i="14"/>
  <c r="H167" i="14"/>
  <c r="B165" i="14"/>
  <c r="H163" i="14"/>
  <c r="B161" i="14"/>
  <c r="B157" i="14"/>
  <c r="B155" i="14"/>
  <c r="B153" i="14"/>
  <c r="B151" i="14"/>
  <c r="B149" i="14"/>
  <c r="B147" i="14"/>
  <c r="B145" i="14"/>
  <c r="B143" i="14"/>
  <c r="B141" i="14"/>
  <c r="B18" i="11"/>
  <c r="AA13" i="11"/>
  <c r="AK11" i="11"/>
  <c r="Q8" i="11"/>
  <c r="AJ6" i="11"/>
  <c r="M5" i="11"/>
  <c r="G2" i="8"/>
  <c r="P13" i="11"/>
  <c r="AK9" i="11"/>
  <c r="H8" i="11"/>
  <c r="AA6" i="11"/>
  <c r="AE3" i="11"/>
  <c r="N2" i="11"/>
  <c r="F2" i="8"/>
  <c r="F2" i="11" s="1"/>
  <c r="B221" i="14"/>
  <c r="B219" i="14"/>
  <c r="B217" i="14"/>
  <c r="B215" i="14"/>
  <c r="B213" i="14"/>
  <c r="B211" i="14"/>
  <c r="B209" i="14"/>
  <c r="B207" i="14"/>
  <c r="B205" i="14"/>
  <c r="B203" i="14"/>
  <c r="B201" i="14"/>
  <c r="B199" i="14"/>
  <c r="B197" i="14"/>
  <c r="B195" i="14"/>
  <c r="B193" i="14"/>
  <c r="H188" i="14"/>
  <c r="B186" i="14"/>
  <c r="H184" i="14"/>
  <c r="B182" i="14"/>
  <c r="H180" i="14"/>
  <c r="B178" i="14"/>
  <c r="H176" i="14"/>
  <c r="B174" i="14"/>
  <c r="H172" i="14"/>
  <c r="B170" i="14"/>
  <c r="H168" i="14"/>
  <c r="B166" i="14"/>
  <c r="H164" i="14"/>
  <c r="B162" i="14"/>
  <c r="F158" i="14"/>
  <c r="F156" i="14"/>
  <c r="F154" i="14"/>
  <c r="F152" i="14"/>
  <c r="U17" i="11"/>
  <c r="O11" i="11"/>
  <c r="AA9" i="11"/>
  <c r="W3" i="11"/>
  <c r="L2" i="11"/>
  <c r="G220" i="14"/>
  <c r="G218" i="14"/>
  <c r="G216" i="14"/>
  <c r="G214" i="14"/>
  <c r="G212" i="14"/>
  <c r="G210" i="14"/>
  <c r="G208" i="14"/>
  <c r="G206" i="14"/>
  <c r="G204" i="14"/>
  <c r="G202" i="14"/>
  <c r="G200" i="14"/>
  <c r="G198" i="14"/>
  <c r="G196" i="14"/>
  <c r="G194" i="14"/>
  <c r="I189" i="14"/>
  <c r="G188" i="14"/>
  <c r="C187" i="14"/>
  <c r="I185" i="14"/>
  <c r="G184" i="14"/>
  <c r="C183" i="14"/>
  <c r="I181" i="14"/>
  <c r="G180" i="14"/>
  <c r="C179" i="14"/>
  <c r="I177" i="14"/>
  <c r="G176" i="14"/>
  <c r="C175" i="14"/>
  <c r="I173" i="14"/>
  <c r="G172" i="14"/>
  <c r="C171" i="14"/>
  <c r="I169" i="14"/>
  <c r="G168" i="14"/>
  <c r="C167" i="14"/>
  <c r="I165" i="14"/>
  <c r="G164" i="14"/>
  <c r="C163" i="14"/>
  <c r="I161" i="14"/>
  <c r="C158" i="14"/>
  <c r="C156" i="14"/>
  <c r="C154" i="14"/>
  <c r="C152" i="14"/>
  <c r="C150" i="14"/>
  <c r="C148" i="14"/>
  <c r="C146" i="14"/>
  <c r="C144" i="14"/>
  <c r="C142" i="14"/>
  <c r="C140" i="14"/>
  <c r="C138" i="14"/>
  <c r="C136" i="14"/>
  <c r="C134" i="14"/>
  <c r="C132" i="14"/>
  <c r="C130" i="14"/>
  <c r="C126" i="14"/>
  <c r="C124" i="14"/>
  <c r="C122" i="14"/>
  <c r="B17" i="11"/>
  <c r="AI14" i="11"/>
  <c r="P9" i="11"/>
  <c r="AI7" i="11"/>
  <c r="H6" i="11"/>
  <c r="AH4" i="11"/>
  <c r="O3" i="11"/>
  <c r="F220" i="14"/>
  <c r="F218" i="14"/>
  <c r="F216" i="14"/>
  <c r="F214" i="14"/>
  <c r="F212" i="14"/>
  <c r="F210" i="14"/>
  <c r="F208" i="14"/>
  <c r="F206" i="14"/>
  <c r="F204" i="14"/>
  <c r="F202" i="14"/>
  <c r="F200" i="14"/>
  <c r="F198" i="14"/>
  <c r="F196" i="14"/>
  <c r="F194" i="14"/>
  <c r="H189" i="14"/>
  <c r="B187" i="14"/>
  <c r="H185" i="14"/>
  <c r="B183" i="14"/>
  <c r="H181" i="14"/>
  <c r="B179" i="14"/>
  <c r="H177" i="14"/>
  <c r="B175" i="14"/>
  <c r="H173" i="14"/>
  <c r="B171" i="14"/>
  <c r="H169" i="14"/>
  <c r="B167" i="14"/>
  <c r="H165" i="14"/>
  <c r="B163" i="14"/>
  <c r="H161" i="14"/>
  <c r="B158" i="14"/>
  <c r="B156" i="14"/>
  <c r="B154" i="14"/>
  <c r="B152" i="14"/>
  <c r="B150" i="14"/>
  <c r="B148" i="14"/>
  <c r="B146" i="14"/>
  <c r="B144" i="14"/>
  <c r="B142" i="14"/>
  <c r="B140" i="14"/>
  <c r="B138" i="14"/>
  <c r="B136" i="14"/>
  <c r="B134" i="14"/>
  <c r="B132" i="14"/>
  <c r="B130" i="14"/>
  <c r="H11" i="8"/>
  <c r="H11" i="11" s="1"/>
  <c r="J11" i="8"/>
  <c r="J11" i="11" s="1"/>
  <c r="I11" i="8"/>
  <c r="I11" i="11" s="1"/>
  <c r="G11" i="8"/>
  <c r="G11" i="11" s="1"/>
  <c r="F11" i="8"/>
  <c r="F11" i="11" s="1"/>
  <c r="C18" i="27"/>
  <c r="C26" i="27"/>
  <c r="C34" i="27"/>
  <c r="D5" i="29" a="1"/>
  <c r="E4" i="14"/>
  <c r="C5" i="14"/>
  <c r="E8" i="14"/>
  <c r="C9" i="14"/>
  <c r="E12" i="14"/>
  <c r="C13" i="14"/>
  <c r="E16" i="14"/>
  <c r="C17" i="14"/>
  <c r="E20" i="14"/>
  <c r="C21" i="14"/>
  <c r="E24" i="14"/>
  <c r="C25" i="14"/>
  <c r="E28" i="14"/>
  <c r="C29" i="14"/>
  <c r="E32" i="14"/>
  <c r="B218" i="14"/>
  <c r="F4" i="14"/>
  <c r="D5" i="14"/>
  <c r="F8" i="14"/>
  <c r="D9" i="14"/>
  <c r="F12" i="14"/>
  <c r="D13" i="14"/>
  <c r="F16" i="14"/>
  <c r="D17" i="14"/>
  <c r="F20" i="14"/>
  <c r="D21" i="14"/>
  <c r="F24" i="14"/>
  <c r="D25" i="14"/>
  <c r="F28" i="14"/>
  <c r="D29" i="14"/>
  <c r="F32" i="14"/>
  <c r="C19" i="27"/>
  <c r="C27" i="27"/>
  <c r="C35" i="27"/>
  <c r="C20" i="27"/>
  <c r="C28" i="27"/>
  <c r="E5" i="14"/>
  <c r="E9" i="14"/>
  <c r="E13" i="14"/>
  <c r="E17" i="14"/>
  <c r="E21" i="14"/>
  <c r="E25" i="14"/>
  <c r="E29" i="14"/>
  <c r="B214" i="14"/>
  <c r="J2" i="8"/>
  <c r="J2" i="11" s="1"/>
  <c r="F5" i="14"/>
  <c r="B220" i="14"/>
  <c r="I9" i="8"/>
  <c r="I9" i="11" s="1"/>
  <c r="H9" i="8"/>
  <c r="H9" i="11" s="1"/>
  <c r="G9" i="8"/>
  <c r="G9" i="11" s="1"/>
  <c r="F9" i="8"/>
  <c r="F9" i="11" s="1"/>
  <c r="C22" i="27"/>
  <c r="C30" i="27"/>
  <c r="C23" i="27"/>
  <c r="B216" i="14"/>
  <c r="G3" i="8"/>
  <c r="G3" i="11" s="1"/>
  <c r="I10" i="8"/>
  <c r="H19" i="8"/>
  <c r="H19" i="11" s="1"/>
  <c r="F19" i="8"/>
  <c r="F19" i="11" s="1"/>
  <c r="I19" i="8"/>
  <c r="I19" i="11" s="1"/>
  <c r="AF13" i="11"/>
  <c r="I3" i="8"/>
  <c r="I3" i="11" s="1"/>
  <c r="F5" i="8"/>
  <c r="F5" i="11" s="1"/>
  <c r="F7" i="8"/>
  <c r="F7" i="11" s="1"/>
  <c r="J10" i="8"/>
  <c r="J10" i="11" s="1"/>
  <c r="AF5" i="11"/>
  <c r="AJ8" i="11"/>
  <c r="H15" i="8"/>
  <c r="H15" i="11" s="1"/>
  <c r="F15" i="8"/>
  <c r="F15" i="11" s="1"/>
  <c r="AK4" i="11"/>
  <c r="I5" i="8"/>
  <c r="I5" i="11" s="1"/>
  <c r="J7" i="8"/>
  <c r="J7" i="11" s="1"/>
  <c r="G19" i="8"/>
  <c r="G19" i="11" s="1"/>
  <c r="AK7" i="11"/>
  <c r="J19" i="8"/>
  <c r="J19" i="11" s="1"/>
  <c r="G15" i="8"/>
  <c r="G15" i="11" s="1"/>
  <c r="AE2" i="11"/>
  <c r="AH3" i="11"/>
  <c r="F3" i="8"/>
  <c r="F3" i="11" s="1"/>
  <c r="H10" i="8"/>
  <c r="H10" i="11" s="1"/>
  <c r="I15" i="8"/>
  <c r="I15" i="11" s="1"/>
  <c r="AI6" i="11"/>
  <c r="AE11" i="11"/>
  <c r="AA22" i="11"/>
  <c r="I23" i="8"/>
  <c r="I23" i="11" s="1"/>
  <c r="I27" i="8"/>
  <c r="I27" i="11" s="1"/>
  <c r="P2" i="11"/>
  <c r="AF2" i="11"/>
  <c r="C3" i="11"/>
  <c r="K3" i="11"/>
  <c r="AA3" i="11"/>
  <c r="AI3" i="11"/>
  <c r="Q5" i="11"/>
  <c r="AG5" i="11"/>
  <c r="C7" i="11"/>
  <c r="M7" i="11"/>
  <c r="V7" i="11"/>
  <c r="AE7" i="11"/>
  <c r="C8" i="11"/>
  <c r="L8" i="11"/>
  <c r="U8" i="11"/>
  <c r="AD8" i="11"/>
  <c r="U11" i="11"/>
  <c r="K13" i="11"/>
  <c r="U13" i="11"/>
  <c r="K20" i="11"/>
  <c r="AE20" i="11"/>
  <c r="P22" i="11"/>
  <c r="J23" i="8"/>
  <c r="J23" i="11" s="1"/>
  <c r="J27" i="8"/>
  <c r="J27" i="11" s="1"/>
  <c r="I2" i="11"/>
  <c r="Q2" i="11"/>
  <c r="AG2" i="11"/>
  <c r="D3" i="11"/>
  <c r="L3" i="11"/>
  <c r="AB3" i="11"/>
  <c r="AJ3" i="11"/>
  <c r="AH5" i="11"/>
  <c r="N7" i="11"/>
  <c r="W7" i="11"/>
  <c r="AF7" i="11"/>
  <c r="D8" i="11"/>
  <c r="M8" i="11"/>
  <c r="V8" i="11"/>
  <c r="AF8" i="11"/>
  <c r="AJ11" i="11"/>
  <c r="AB11" i="11"/>
  <c r="L11" i="11"/>
  <c r="AF11" i="11"/>
  <c r="P11" i="11"/>
  <c r="K11" i="11"/>
  <c r="V11" i="11"/>
  <c r="AG11" i="11"/>
  <c r="AH13" i="11"/>
  <c r="J13" i="11"/>
  <c r="B13" i="11"/>
  <c r="AD13" i="11"/>
  <c r="V13" i="11"/>
  <c r="N13" i="11"/>
  <c r="F13" i="11"/>
  <c r="L13" i="11"/>
  <c r="W13" i="11"/>
  <c r="AG13" i="11"/>
  <c r="O20" i="11"/>
  <c r="AJ20" i="11"/>
  <c r="E3" i="11"/>
  <c r="M3" i="11"/>
  <c r="U3" i="11"/>
  <c r="AK3" i="11"/>
  <c r="O7" i="11"/>
  <c r="X7" i="11"/>
  <c r="AG7" i="11"/>
  <c r="N8" i="11"/>
  <c r="AG8" i="11"/>
  <c r="AG16" i="11"/>
  <c r="AH21" i="11"/>
  <c r="AI25" i="11"/>
  <c r="J14" i="8"/>
  <c r="J14" i="11" s="1"/>
  <c r="J18" i="8"/>
  <c r="J18" i="11" s="1"/>
  <c r="J22" i="8"/>
  <c r="J22" i="11" s="1"/>
  <c r="J26" i="8"/>
  <c r="J26" i="11" s="1"/>
  <c r="J30" i="8"/>
  <c r="J30" i="11" s="1"/>
  <c r="C2" i="11"/>
  <c r="K2" i="11"/>
  <c r="AA2" i="11"/>
  <c r="AI2" i="11"/>
  <c r="N3" i="11"/>
  <c r="V3" i="11"/>
  <c r="AD3" i="11"/>
  <c r="I4" i="11"/>
  <c r="Q4" i="11"/>
  <c r="AG4" i="11"/>
  <c r="D5" i="11"/>
  <c r="L5" i="11"/>
  <c r="AB5" i="11"/>
  <c r="AJ5" i="11"/>
  <c r="G6" i="11"/>
  <c r="P6" i="11"/>
  <c r="G7" i="11"/>
  <c r="P7" i="11"/>
  <c r="AH7" i="11"/>
  <c r="P8" i="11"/>
  <c r="AH8" i="11"/>
  <c r="N11" i="11"/>
  <c r="AI11" i="11"/>
  <c r="D13" i="11"/>
  <c r="O13" i="11"/>
  <c r="AJ13" i="11"/>
  <c r="AI17" i="11"/>
  <c r="AA17" i="11"/>
  <c r="K17" i="11"/>
  <c r="C17" i="11"/>
  <c r="AK17" i="11"/>
  <c r="AB17" i="11"/>
  <c r="I17" i="11"/>
  <c r="AH17" i="11"/>
  <c r="P17" i="11"/>
  <c r="AF17" i="11"/>
  <c r="W17" i="11"/>
  <c r="N17" i="11"/>
  <c r="AE17" i="11"/>
  <c r="V17" i="11"/>
  <c r="M17" i="11"/>
  <c r="D17" i="11"/>
  <c r="AD18" i="11"/>
  <c r="V18" i="11"/>
  <c r="N18" i="11"/>
  <c r="F18" i="11"/>
  <c r="AJ18" i="11"/>
  <c r="AA18" i="11"/>
  <c r="I18" i="11"/>
  <c r="AH18" i="11"/>
  <c r="P18" i="11"/>
  <c r="AF18" i="11"/>
  <c r="W18" i="11"/>
  <c r="M18" i="11"/>
  <c r="D18" i="11"/>
  <c r="AE18" i="11"/>
  <c r="U18" i="11"/>
  <c r="L18" i="11"/>
  <c r="C18" i="11"/>
  <c r="AK18" i="11"/>
  <c r="AD30" i="11"/>
  <c r="AF20" i="11"/>
  <c r="X20" i="11"/>
  <c r="P20" i="11"/>
  <c r="H20" i="11"/>
  <c r="AG20" i="11"/>
  <c r="W20" i="11"/>
  <c r="N20" i="11"/>
  <c r="AC20" i="11"/>
  <c r="I20" i="11"/>
  <c r="AK20" i="11"/>
  <c r="AA20" i="11"/>
  <c r="Q20" i="11"/>
  <c r="F20" i="11"/>
  <c r="AI20" i="11"/>
  <c r="M20" i="11"/>
  <c r="C20" i="11"/>
  <c r="AH20" i="11"/>
  <c r="V20" i="11"/>
  <c r="L20" i="11"/>
  <c r="B20" i="11"/>
  <c r="U20" i="11"/>
  <c r="AD22" i="11"/>
  <c r="V22" i="11"/>
  <c r="N22" i="11"/>
  <c r="F22" i="11"/>
  <c r="AG22" i="11"/>
  <c r="X22" i="11"/>
  <c r="O22" i="11"/>
  <c r="AF22" i="11"/>
  <c r="W22" i="11"/>
  <c r="M22" i="11"/>
  <c r="D22" i="11"/>
  <c r="AJ22" i="11"/>
  <c r="K22" i="11"/>
  <c r="AI22" i="11"/>
  <c r="U22" i="11"/>
  <c r="AH22" i="11"/>
  <c r="I22" i="11"/>
  <c r="G22" i="11"/>
  <c r="AB22" i="11"/>
  <c r="Q22" i="11"/>
  <c r="C22" i="11"/>
  <c r="AE22" i="11"/>
  <c r="F23" i="8"/>
  <c r="F23" i="11" s="1"/>
  <c r="F27" i="8"/>
  <c r="F27" i="11" s="1"/>
  <c r="M2" i="11"/>
  <c r="AC2" i="11"/>
  <c r="AK2" i="11"/>
  <c r="H3" i="11"/>
  <c r="P3" i="11"/>
  <c r="X3" i="11"/>
  <c r="AF3" i="11"/>
  <c r="C4" i="11"/>
  <c r="K4" i="11"/>
  <c r="AA4" i="11"/>
  <c r="AI4" i="11"/>
  <c r="N5" i="11"/>
  <c r="V5" i="11"/>
  <c r="AD5" i="11"/>
  <c r="AG6" i="11"/>
  <c r="Q6" i="11"/>
  <c r="I6" i="11"/>
  <c r="J6" i="11"/>
  <c r="AB6" i="11"/>
  <c r="AK6" i="11"/>
  <c r="I7" i="11"/>
  <c r="AA7" i="11"/>
  <c r="I8" i="11"/>
  <c r="AA8" i="11"/>
  <c r="AG10" i="11"/>
  <c r="Q11" i="11"/>
  <c r="AA11" i="11"/>
  <c r="AE12" i="11"/>
  <c r="W12" i="11"/>
  <c r="O12" i="11"/>
  <c r="G12" i="11"/>
  <c r="AI12" i="11"/>
  <c r="AA12" i="11"/>
  <c r="K12" i="11"/>
  <c r="C12" i="11"/>
  <c r="L12" i="11"/>
  <c r="V12" i="11"/>
  <c r="AG12" i="11"/>
  <c r="G13" i="11"/>
  <c r="Q13" i="11"/>
  <c r="AB13" i="11"/>
  <c r="F17" i="11"/>
  <c r="X17" i="11"/>
  <c r="X18" i="11"/>
  <c r="D20" i="11"/>
  <c r="B22" i="11"/>
  <c r="AK22" i="11"/>
  <c r="AI24" i="11"/>
  <c r="Q3" i="11"/>
  <c r="AG3" i="11"/>
  <c r="AJ7" i="11"/>
  <c r="AB7" i="11"/>
  <c r="L7" i="11"/>
  <c r="D7" i="11"/>
  <c r="AC7" i="11"/>
  <c r="AE8" i="11"/>
  <c r="W8" i="11"/>
  <c r="O8" i="11"/>
  <c r="G8" i="11"/>
  <c r="J8" i="11"/>
  <c r="AB8" i="11"/>
  <c r="AK8" i="11"/>
  <c r="AG23" i="11"/>
  <c r="G2" i="11"/>
  <c r="O2" i="11"/>
  <c r="W2" i="11"/>
  <c r="B3" i="11"/>
  <c r="M4" i="11"/>
  <c r="U4" i="11"/>
  <c r="AC4" i="11"/>
  <c r="H5" i="11"/>
  <c r="P5" i="11"/>
  <c r="C6" i="11"/>
  <c r="L6" i="11"/>
  <c r="U6" i="11"/>
  <c r="AD6" i="11"/>
  <c r="B7" i="11"/>
  <c r="K7" i="11"/>
  <c r="U7" i="11"/>
  <c r="AD7" i="11"/>
  <c r="B8" i="11"/>
  <c r="K8" i="11"/>
  <c r="AC8" i="11"/>
  <c r="AD9" i="11"/>
  <c r="V9" i="11"/>
  <c r="AH9" i="11"/>
  <c r="J9" i="11"/>
  <c r="B9" i="11"/>
  <c r="K9" i="11"/>
  <c r="AE9" i="11"/>
  <c r="AD11" i="11"/>
  <c r="D12" i="11"/>
  <c r="N12" i="11"/>
  <c r="AJ12" i="11"/>
  <c r="I13" i="11"/>
  <c r="AE13" i="11"/>
  <c r="AG15" i="11"/>
  <c r="J17" i="11"/>
  <c r="AC17" i="11"/>
  <c r="AB18" i="11"/>
  <c r="J20" i="11"/>
  <c r="AD20" i="11"/>
  <c r="L22" i="11"/>
  <c r="G21" i="11"/>
  <c r="Q21" i="11"/>
  <c r="AC21" i="11"/>
  <c r="P24" i="11"/>
  <c r="AH24" i="11"/>
  <c r="P25" i="11"/>
  <c r="AH25" i="11"/>
  <c r="O28" i="11"/>
  <c r="M10" i="11"/>
  <c r="U10" i="11"/>
  <c r="AK10" i="11"/>
  <c r="AH14" i="11"/>
  <c r="I14" i="11"/>
  <c r="Q14" i="11"/>
  <c r="AG14" i="11"/>
  <c r="O15" i="11"/>
  <c r="X15" i="11"/>
  <c r="N16" i="11"/>
  <c r="W16" i="11"/>
  <c r="H21" i="11"/>
  <c r="AD21" i="11"/>
  <c r="Q24" i="11"/>
  <c r="Q25" i="11"/>
  <c r="J21" i="11"/>
  <c r="U21" i="11"/>
  <c r="AJ24" i="11"/>
  <c r="AB24" i="11"/>
  <c r="L24" i="11"/>
  <c r="D24" i="11"/>
  <c r="AG24" i="11"/>
  <c r="X24" i="11"/>
  <c r="O24" i="11"/>
  <c r="F24" i="11"/>
  <c r="AF24" i="11"/>
  <c r="W24" i="11"/>
  <c r="N24" i="11"/>
  <c r="E24" i="11"/>
  <c r="AE24" i="11"/>
  <c r="V24" i="11"/>
  <c r="M24" i="11"/>
  <c r="C24" i="11"/>
  <c r="AD24" i="11"/>
  <c r="U24" i="11"/>
  <c r="K24" i="11"/>
  <c r="B24" i="11"/>
  <c r="AE25" i="11"/>
  <c r="W25" i="11"/>
  <c r="O25" i="11"/>
  <c r="G25" i="11"/>
  <c r="AG25" i="11"/>
  <c r="X25" i="11"/>
  <c r="AF25" i="11"/>
  <c r="V25" i="11"/>
  <c r="M25" i="11"/>
  <c r="D25" i="11"/>
  <c r="AD25" i="11"/>
  <c r="U25" i="11"/>
  <c r="L25" i="11"/>
  <c r="C25" i="11"/>
  <c r="K25" i="11"/>
  <c r="B25" i="11"/>
  <c r="AK25" i="11"/>
  <c r="AF28" i="11"/>
  <c r="X28" i="11"/>
  <c r="P28" i="11"/>
  <c r="H28" i="11"/>
  <c r="AD28" i="11"/>
  <c r="V28" i="11"/>
  <c r="N28" i="11"/>
  <c r="AI28" i="11"/>
  <c r="AA28" i="11"/>
  <c r="K28" i="11"/>
  <c r="C28" i="11"/>
  <c r="AJ28" i="11"/>
  <c r="W28" i="11"/>
  <c r="J28" i="11"/>
  <c r="AH28" i="11"/>
  <c r="U28" i="11"/>
  <c r="I28" i="11"/>
  <c r="AG28" i="11"/>
  <c r="G28" i="11"/>
  <c r="AE28" i="11"/>
  <c r="F28" i="11"/>
  <c r="AC28" i="11"/>
  <c r="Q28" i="11"/>
  <c r="AB28" i="11"/>
  <c r="AI21" i="11"/>
  <c r="AA21" i="11"/>
  <c r="K21" i="11"/>
  <c r="C21" i="11"/>
  <c r="AG21" i="11"/>
  <c r="X21" i="11"/>
  <c r="AF21" i="11"/>
  <c r="W21" i="11"/>
  <c r="N21" i="11"/>
  <c r="L21" i="11"/>
  <c r="V21" i="11"/>
  <c r="AJ21" i="11"/>
  <c r="I10" i="11"/>
  <c r="Q10" i="11"/>
  <c r="AK15" i="11"/>
  <c r="AC15" i="11"/>
  <c r="U15" i="11"/>
  <c r="M15" i="11"/>
  <c r="J15" i="11"/>
  <c r="AB15" i="11"/>
  <c r="AF16" i="11"/>
  <c r="X16" i="11"/>
  <c r="P16" i="11"/>
  <c r="H16" i="11"/>
  <c r="J16" i="11"/>
  <c r="AB16" i="11"/>
  <c r="AK16" i="11"/>
  <c r="B21" i="11"/>
  <c r="M21" i="11"/>
  <c r="AK21" i="11"/>
  <c r="H24" i="11"/>
  <c r="H25" i="11"/>
  <c r="D28" i="11"/>
  <c r="AI29" i="11"/>
  <c r="AK19" i="11"/>
  <c r="Q19" i="11"/>
  <c r="AG19" i="11"/>
  <c r="AH26" i="11"/>
  <c r="B26" i="11"/>
  <c r="K26" i="11"/>
  <c r="AC26" i="11"/>
  <c r="AK27" i="11"/>
  <c r="AC27" i="11"/>
  <c r="U27" i="11"/>
  <c r="M27" i="11"/>
  <c r="AF27" i="11"/>
  <c r="X27" i="11"/>
  <c r="P27" i="11"/>
  <c r="AE27" i="11"/>
  <c r="F4" i="24"/>
  <c r="I4" i="24"/>
  <c r="F8" i="24"/>
  <c r="I8" i="24"/>
  <c r="I17" i="24"/>
  <c r="H20" i="24"/>
  <c r="G21" i="24"/>
  <c r="G24" i="24"/>
  <c r="G28" i="24"/>
  <c r="H5" i="24"/>
  <c r="F5" i="24"/>
  <c r="H9" i="24"/>
  <c r="F9" i="24"/>
  <c r="F12" i="24"/>
  <c r="I12" i="24"/>
  <c r="H24" i="24"/>
  <c r="G25" i="24"/>
  <c r="H28" i="24"/>
  <c r="H13" i="24"/>
  <c r="F13" i="24"/>
  <c r="F16" i="24"/>
  <c r="I16" i="24"/>
  <c r="I25" i="24"/>
  <c r="H17" i="24"/>
  <c r="F17" i="24"/>
  <c r="F20" i="24"/>
  <c r="I20" i="24"/>
  <c r="H21" i="24"/>
  <c r="F21" i="24"/>
  <c r="F24" i="24"/>
  <c r="I24" i="24"/>
  <c r="F28" i="24"/>
  <c r="I28" i="24"/>
  <c r="Q7" i="7"/>
  <c r="T4" i="24"/>
  <c r="P7" i="7" a="1"/>
  <c r="P7" i="7" s="1"/>
  <c r="H25" i="24"/>
  <c r="F25" i="24"/>
  <c r="J29" i="24"/>
  <c r="Q39" i="7"/>
  <c r="P39" i="7" a="1"/>
  <c r="P39" i="7" s="1"/>
  <c r="N29" i="11"/>
  <c r="V29" i="11"/>
  <c r="AD29" i="11"/>
  <c r="I30" i="11"/>
  <c r="Q30" i="11"/>
  <c r="AG30" i="11"/>
  <c r="G3" i="24"/>
  <c r="Q26" i="7"/>
  <c r="P26" i="7" a="1"/>
  <c r="P26" i="7" s="1"/>
  <c r="I35" i="7"/>
  <c r="M29" i="24"/>
  <c r="I29" i="11"/>
  <c r="Q29" i="11"/>
  <c r="AG29" i="11"/>
  <c r="D30" i="11"/>
  <c r="L30" i="11"/>
  <c r="AB30" i="11"/>
  <c r="AJ30" i="11"/>
  <c r="F29" i="24"/>
  <c r="Q5" i="7"/>
  <c r="P5" i="7" a="1"/>
  <c r="P5" i="7" s="1"/>
  <c r="AH10" i="7"/>
  <c r="AG28" i="7"/>
  <c r="Z6" i="7"/>
  <c r="Q9" i="7"/>
  <c r="P9" i="7" a="1"/>
  <c r="P9" i="7" s="1"/>
  <c r="Z14" i="7"/>
  <c r="Q16" i="7"/>
  <c r="P16" i="7" a="1"/>
  <c r="P16" i="7" s="1"/>
  <c r="Q36" i="7"/>
  <c r="P36" i="7" a="1"/>
  <c r="P36" i="7" s="1"/>
  <c r="F17" i="19"/>
  <c r="G17" i="19" s="1"/>
  <c r="F14" i="19"/>
  <c r="G14" i="19" s="1"/>
  <c r="F10" i="19"/>
  <c r="G10" i="19" s="1"/>
  <c r="F13" i="19"/>
  <c r="G13" i="19" s="1"/>
  <c r="F16" i="19"/>
  <c r="G16" i="19" s="1"/>
  <c r="F18" i="19"/>
  <c r="G18" i="19" s="1"/>
  <c r="F12" i="19"/>
  <c r="G12" i="19" s="1"/>
  <c r="F11" i="19"/>
  <c r="G11" i="19" s="1"/>
  <c r="Q23" i="11"/>
  <c r="C29" i="11"/>
  <c r="K29" i="11"/>
  <c r="AA29" i="11"/>
  <c r="F30" i="11"/>
  <c r="N30" i="11"/>
  <c r="V30" i="11"/>
  <c r="E37" i="7"/>
  <c r="H13" i="4"/>
  <c r="C2" i="4" s="1"/>
  <c r="J4" i="4" s="1"/>
  <c r="E18" i="20"/>
  <c r="F17" i="20" s="1"/>
  <c r="G17" i="20" s="1"/>
  <c r="F15" i="20"/>
  <c r="G15" i="20" s="1"/>
  <c r="G18" i="20" s="1"/>
  <c r="C16" i="4" s="1"/>
  <c r="J16" i="4" s="1"/>
  <c r="U17" i="7"/>
  <c r="U18" i="7"/>
  <c r="U15" i="7"/>
  <c r="U14" i="7"/>
  <c r="AD19" i="7"/>
  <c r="U13" i="7"/>
  <c r="U16" i="7"/>
  <c r="G26" i="4"/>
  <c r="H26" i="4" s="1"/>
  <c r="G24" i="4"/>
  <c r="H24" i="4" s="1"/>
  <c r="G22" i="4"/>
  <c r="H22" i="4" s="1"/>
  <c r="G20" i="4"/>
  <c r="H20" i="4" s="1"/>
  <c r="G18" i="4"/>
  <c r="H18" i="4" s="1"/>
  <c r="L4" i="20"/>
  <c r="M4" i="20" s="1"/>
  <c r="M6" i="20" s="1"/>
  <c r="C19" i="4" s="1"/>
  <c r="J19" i="4" s="1"/>
  <c r="F16" i="20"/>
  <c r="G16" i="20" s="1"/>
  <c r="N3" i="21"/>
  <c r="O3" i="21" s="1"/>
  <c r="O5" i="21" s="1"/>
  <c r="C27" i="4" s="1"/>
  <c r="J27" i="4" s="1"/>
  <c r="AF19" i="7"/>
  <c r="AH28" i="7"/>
  <c r="AH41" i="7"/>
  <c r="O37" i="7" a="1"/>
  <c r="O37" i="7" s="1"/>
  <c r="O34" i="7" a="1"/>
  <c r="O34" i="7" s="1"/>
  <c r="O23" i="7" a="1"/>
  <c r="O23" i="7" s="1"/>
  <c r="O18" i="7" a="1"/>
  <c r="O18" i="7" s="1"/>
  <c r="O15" i="7" a="1"/>
  <c r="O15" i="7" s="1"/>
  <c r="O32" i="7" a="1"/>
  <c r="O32" i="7" s="1"/>
  <c r="O14" i="7" a="1"/>
  <c r="O14" i="7" s="1"/>
  <c r="O33" i="7" a="1"/>
  <c r="O33" i="7" s="1"/>
  <c r="O38" i="7" a="1"/>
  <c r="O38" i="7" s="1"/>
  <c r="O27" i="7" a="1"/>
  <c r="O27" i="7" s="1"/>
  <c r="O25" i="7" a="1"/>
  <c r="O25" i="7" s="1"/>
  <c r="O40" i="7" a="1"/>
  <c r="O40" i="7" s="1"/>
  <c r="O35" i="7" a="1"/>
  <c r="O35" i="7" s="1"/>
  <c r="O31" i="7" a="1"/>
  <c r="O31" i="7" s="1"/>
  <c r="O24" i="7" a="1"/>
  <c r="O24" i="7" s="1"/>
  <c r="O22" i="7" a="1"/>
  <c r="O22" i="7" s="1"/>
  <c r="AG19" i="7"/>
  <c r="E14" i="7"/>
  <c r="Z15" i="7"/>
  <c r="O21" i="7" a="1"/>
  <c r="O21" i="7" s="1"/>
  <c r="Z32" i="7"/>
  <c r="Z41" i="7" s="1"/>
  <c r="G19" i="4"/>
  <c r="H19" i="4" s="1"/>
  <c r="H28" i="4" s="1"/>
  <c r="C3" i="4" s="1"/>
  <c r="J5" i="4" s="1"/>
  <c r="F15" i="19"/>
  <c r="G15" i="19" s="1"/>
  <c r="G28" i="19"/>
  <c r="C9" i="4" s="1"/>
  <c r="J10" i="4" s="1"/>
  <c r="G34" i="19"/>
  <c r="C10" i="4" s="1"/>
  <c r="J7" i="4" s="1"/>
  <c r="AF10" i="7"/>
  <c r="O6" i="7" a="1"/>
  <c r="O6" i="7" s="1"/>
  <c r="O12" i="7" a="1"/>
  <c r="O12" i="7" s="1"/>
  <c r="O17" i="7" a="1"/>
  <c r="O17" i="7" s="1"/>
  <c r="Z18" i="7"/>
  <c r="G25" i="4"/>
  <c r="H25" i="4" s="1"/>
  <c r="H45" i="4"/>
  <c r="C6" i="4" s="1"/>
  <c r="J2" i="4" s="1"/>
  <c r="E11" i="20"/>
  <c r="F8" i="20" s="1"/>
  <c r="G8" i="20" s="1"/>
  <c r="F9" i="20"/>
  <c r="G9" i="20" s="1"/>
  <c r="F27" i="20"/>
  <c r="G27" i="20" s="1"/>
  <c r="F26" i="20"/>
  <c r="G26" i="20" s="1"/>
  <c r="AG10" i="7"/>
  <c r="O8" i="7" a="1"/>
  <c r="O8" i="7" s="1"/>
  <c r="O13" i="7" a="1"/>
  <c r="O13" i="7" s="1"/>
  <c r="Z21" i="7"/>
  <c r="E32" i="7"/>
  <c r="F10" i="20"/>
  <c r="G10" i="20" s="1"/>
  <c r="F28" i="20"/>
  <c r="G28" i="20" s="1"/>
  <c r="F4" i="19"/>
  <c r="G4" i="19" s="1"/>
  <c r="G51" i="4"/>
  <c r="H51" i="4" s="1"/>
  <c r="H53" i="4" s="1"/>
  <c r="C5" i="4" s="1"/>
  <c r="J3" i="4" s="1"/>
  <c r="K9" i="19"/>
  <c r="G30" i="21"/>
  <c r="H30" i="21" s="1"/>
  <c r="H31" i="21" s="1"/>
  <c r="C26" i="4" s="1"/>
  <c r="J26" i="4" s="1"/>
  <c r="F3" i="19"/>
  <c r="G3" i="19" s="1"/>
  <c r="G6" i="19" s="1"/>
  <c r="C7" i="4" s="1"/>
  <c r="J13" i="4" s="1"/>
  <c r="D17" i="32" l="1"/>
  <c r="F33" i="14"/>
  <c r="C182" i="14"/>
  <c r="D10" i="32"/>
  <c r="E30" i="8"/>
  <c r="E30" i="11" s="1"/>
  <c r="E30" i="24"/>
  <c r="C161" i="14"/>
  <c r="E8" i="8"/>
  <c r="E8" i="11" s="1"/>
  <c r="E8" i="24"/>
  <c r="D29" i="33"/>
  <c r="D11" i="33"/>
  <c r="D20" i="32"/>
  <c r="D22" i="33"/>
  <c r="D20" i="33"/>
  <c r="D11" i="32"/>
  <c r="D30" i="32"/>
  <c r="D8" i="33"/>
  <c r="E10" i="24"/>
  <c r="D32" i="32"/>
  <c r="D18" i="32"/>
  <c r="D10" i="33"/>
  <c r="D8" i="32"/>
  <c r="D36" i="33"/>
  <c r="D33" i="32"/>
  <c r="D33" i="33"/>
  <c r="D34" i="33"/>
  <c r="D15" i="32"/>
  <c r="D13" i="32"/>
  <c r="D25" i="32"/>
  <c r="E20" i="24"/>
  <c r="E20" i="8"/>
  <c r="E20" i="11" s="1"/>
  <c r="E13" i="8"/>
  <c r="E13" i="11" s="1"/>
  <c r="E13" i="24"/>
  <c r="D9" i="33"/>
  <c r="D35" i="32"/>
  <c r="D27" i="33"/>
  <c r="D24" i="32"/>
  <c r="D2" i="11"/>
  <c r="D27" i="32"/>
  <c r="D19" i="33"/>
  <c r="E23" i="24"/>
  <c r="D21" i="32"/>
  <c r="D24" i="33"/>
  <c r="D33" i="14"/>
  <c r="H21" i="14" s="1"/>
  <c r="C33" i="14"/>
  <c r="G13" i="14" s="1"/>
  <c r="D13" i="33"/>
  <c r="D36" i="32"/>
  <c r="G65" i="14"/>
  <c r="H60" i="14" s="1"/>
  <c r="T9" i="24"/>
  <c r="T6" i="8"/>
  <c r="R6" i="11" s="1"/>
  <c r="E21" i="24"/>
  <c r="E21" i="8"/>
  <c r="E21" i="11" s="1"/>
  <c r="E2" i="8"/>
  <c r="E2" i="11" s="1"/>
  <c r="E2" i="24"/>
  <c r="E16" i="24"/>
  <c r="E7" i="8"/>
  <c r="E7" i="11" s="1"/>
  <c r="C168" i="14"/>
  <c r="D22" i="32"/>
  <c r="D14" i="33"/>
  <c r="E19" i="24"/>
  <c r="E19" i="8"/>
  <c r="E19" i="11" s="1"/>
  <c r="D16" i="32"/>
  <c r="D18" i="33"/>
  <c r="E9" i="24"/>
  <c r="E6" i="8"/>
  <c r="E6" i="11" s="1"/>
  <c r="D32" i="33"/>
  <c r="D9" i="32"/>
  <c r="E14" i="8"/>
  <c r="E14" i="11" s="1"/>
  <c r="E22" i="24"/>
  <c r="D12" i="32"/>
  <c r="C164" i="14"/>
  <c r="D15" i="33"/>
  <c r="E26" i="8"/>
  <c r="E26" i="11" s="1"/>
  <c r="E15" i="24"/>
  <c r="E5" i="8"/>
  <c r="E5" i="11" s="1"/>
  <c r="E5" i="24"/>
  <c r="E10" i="8"/>
  <c r="E10" i="11" s="1"/>
  <c r="E24" i="24"/>
  <c r="E12" i="24"/>
  <c r="E12" i="8"/>
  <c r="E12" i="11" s="1"/>
  <c r="Z5" i="24"/>
  <c r="Z5" i="8"/>
  <c r="X5" i="11" s="1"/>
  <c r="H170" i="14"/>
  <c r="C170" i="14"/>
  <c r="D35" i="33"/>
  <c r="D23" i="32"/>
  <c r="D26" i="32"/>
  <c r="D31" i="33"/>
  <c r="E4" i="24"/>
  <c r="E4" i="8"/>
  <c r="E4" i="11" s="1"/>
  <c r="E25" i="24"/>
  <c r="E29" i="8"/>
  <c r="E29" i="11" s="1"/>
  <c r="T19" i="8"/>
  <c r="R19" i="11" s="1"/>
  <c r="T19" i="24"/>
  <c r="Z2" i="24"/>
  <c r="Z2" i="8"/>
  <c r="X2" i="11" s="1"/>
  <c r="T2" i="8"/>
  <c r="R2" i="11" s="1"/>
  <c r="T2" i="24"/>
  <c r="D28" i="32"/>
  <c r="D17" i="33"/>
  <c r="E26" i="24"/>
  <c r="E28" i="8"/>
  <c r="E28" i="11" s="1"/>
  <c r="E7" i="24"/>
  <c r="E16" i="8"/>
  <c r="E16" i="11" s="1"/>
  <c r="T26" i="8"/>
  <c r="R26" i="11" s="1"/>
  <c r="T15" i="24"/>
  <c r="T11" i="24"/>
  <c r="T11" i="8"/>
  <c r="R11" i="11" s="1"/>
  <c r="E11" i="8"/>
  <c r="E11" i="11" s="1"/>
  <c r="E11" i="24"/>
  <c r="C176" i="14"/>
  <c r="D26" i="33"/>
  <c r="D19" i="32"/>
  <c r="E18" i="24"/>
  <c r="E18" i="8"/>
  <c r="E18" i="11" s="1"/>
  <c r="AE9" i="24"/>
  <c r="AE6" i="8"/>
  <c r="AC6" i="11" s="1"/>
  <c r="AE19" i="24"/>
  <c r="AE19" i="8"/>
  <c r="AC19" i="11" s="1"/>
  <c r="E29" i="24"/>
  <c r="E25" i="8"/>
  <c r="E25" i="11" s="1"/>
  <c r="E17" i="8"/>
  <c r="E17" i="11" s="1"/>
  <c r="E17" i="24"/>
  <c r="H29" i="14"/>
  <c r="H25" i="14"/>
  <c r="H32" i="14"/>
  <c r="H28" i="14"/>
  <c r="H22" i="14"/>
  <c r="H31" i="14"/>
  <c r="H7" i="14"/>
  <c r="H30" i="14"/>
  <c r="H18" i="14"/>
  <c r="G17" i="14"/>
  <c r="G19" i="14"/>
  <c r="Q13" i="7"/>
  <c r="P13" i="7" a="1"/>
  <c r="P13" i="7" s="1"/>
  <c r="T8" i="24"/>
  <c r="T8" i="8"/>
  <c r="R8" i="11" s="1"/>
  <c r="Q6" i="7"/>
  <c r="P6" i="7" a="1"/>
  <c r="P6" i="7" s="1"/>
  <c r="T6" i="24"/>
  <c r="T3" i="8"/>
  <c r="R3" i="11" s="1"/>
  <c r="Q21" i="7"/>
  <c r="P21" i="7" a="1"/>
  <c r="P21" i="7" s="1"/>
  <c r="T22" i="24"/>
  <c r="T14" i="8"/>
  <c r="R14" i="11" s="1"/>
  <c r="Q31" i="7"/>
  <c r="P31" i="7" a="1"/>
  <c r="P31" i="7" s="1"/>
  <c r="T21" i="24"/>
  <c r="T21" i="8"/>
  <c r="R21" i="11" s="1"/>
  <c r="Q32" i="7"/>
  <c r="P32" i="7" a="1"/>
  <c r="P32" i="7" s="1"/>
  <c r="T14" i="24"/>
  <c r="T22" i="8"/>
  <c r="R22" i="11" s="1"/>
  <c r="Z13" i="24"/>
  <c r="Z13" i="8"/>
  <c r="X13" i="11" s="1"/>
  <c r="V9" i="7"/>
  <c r="R9" i="7"/>
  <c r="V9" i="24"/>
  <c r="V6" i="8"/>
  <c r="T6" i="11" s="1"/>
  <c r="R5" i="7"/>
  <c r="V5" i="7"/>
  <c r="V2" i="24"/>
  <c r="V2" i="8"/>
  <c r="T2" i="11" s="1"/>
  <c r="AE24" i="24"/>
  <c r="AE10" i="8"/>
  <c r="AC10" i="11" s="1"/>
  <c r="U15" i="24"/>
  <c r="U26" i="8"/>
  <c r="S26" i="11" s="1"/>
  <c r="AE6" i="24"/>
  <c r="AE3" i="8"/>
  <c r="AC3" i="11" s="1"/>
  <c r="U4" i="24"/>
  <c r="U4" i="8"/>
  <c r="S4" i="11" s="1"/>
  <c r="E3" i="24"/>
  <c r="E9" i="8"/>
  <c r="E9" i="11" s="1"/>
  <c r="Q40" i="7"/>
  <c r="P40" i="7" a="1"/>
  <c r="P40" i="7" s="1"/>
  <c r="T30" i="24"/>
  <c r="T30" i="8"/>
  <c r="R30" i="11" s="1"/>
  <c r="Q18" i="7"/>
  <c r="P18" i="7" a="1"/>
  <c r="P18" i="7" s="1"/>
  <c r="T13" i="24"/>
  <c r="T13" i="8"/>
  <c r="R13" i="11" s="1"/>
  <c r="L4" i="19"/>
  <c r="M4" i="19" s="1"/>
  <c r="L8" i="19"/>
  <c r="M8" i="19" s="1"/>
  <c r="L7" i="19"/>
  <c r="M7" i="19" s="1"/>
  <c r="L5" i="19"/>
  <c r="M5" i="19" s="1"/>
  <c r="L3" i="19"/>
  <c r="M3" i="19" s="1"/>
  <c r="G29" i="20"/>
  <c r="C18" i="4" s="1"/>
  <c r="J18" i="4" s="1"/>
  <c r="P25" i="7" a="1"/>
  <c r="P25" i="7" s="1"/>
  <c r="Q25" i="7"/>
  <c r="T18" i="24"/>
  <c r="T18" i="8"/>
  <c r="R18" i="11" s="1"/>
  <c r="Q23" i="7"/>
  <c r="P23" i="7" a="1"/>
  <c r="P23" i="7" s="1"/>
  <c r="T7" i="24"/>
  <c r="T16" i="8"/>
  <c r="R16" i="11" s="1"/>
  <c r="V16" i="7"/>
  <c r="Z11" i="24"/>
  <c r="Z11" i="8"/>
  <c r="X11" i="11" s="1"/>
  <c r="V36" i="7"/>
  <c r="R36" i="7"/>
  <c r="V15" i="24"/>
  <c r="V26" i="8"/>
  <c r="T26" i="11" s="1"/>
  <c r="V7" i="7"/>
  <c r="R7" i="7"/>
  <c r="V4" i="24"/>
  <c r="V4" i="8"/>
  <c r="T4" i="11" s="1"/>
  <c r="E14" i="24"/>
  <c r="E22" i="8"/>
  <c r="E22" i="11" s="1"/>
  <c r="AE13" i="24"/>
  <c r="AE13" i="8"/>
  <c r="AC13" i="11" s="1"/>
  <c r="P27" i="7" a="1"/>
  <c r="P27" i="7" s="1"/>
  <c r="Q27" i="7"/>
  <c r="T20" i="24"/>
  <c r="T20" i="8"/>
  <c r="R20" i="11" s="1"/>
  <c r="Q34" i="7"/>
  <c r="P34" i="7" a="1"/>
  <c r="P34" i="7" s="1"/>
  <c r="T28" i="24"/>
  <c r="T24" i="8"/>
  <c r="R24" i="11" s="1"/>
  <c r="Z8" i="24"/>
  <c r="Z8" i="8"/>
  <c r="X8" i="11" s="1"/>
  <c r="U11" i="24"/>
  <c r="U11" i="8"/>
  <c r="S11" i="11" s="1"/>
  <c r="U25" i="24"/>
  <c r="U29" i="8"/>
  <c r="S29" i="11" s="1"/>
  <c r="D33" i="29"/>
  <c r="I33" i="29" s="1"/>
  <c r="D25" i="29"/>
  <c r="I25" i="29" s="1"/>
  <c r="D17" i="29"/>
  <c r="I17" i="29" s="1"/>
  <c r="D9" i="29"/>
  <c r="I9" i="29" s="1"/>
  <c r="D32" i="29"/>
  <c r="I32" i="29" s="1"/>
  <c r="D24" i="29"/>
  <c r="I24" i="29" s="1"/>
  <c r="D16" i="29"/>
  <c r="I16" i="29" s="1"/>
  <c r="D8" i="29"/>
  <c r="I8" i="29" s="1"/>
  <c r="D31" i="29"/>
  <c r="I31" i="29" s="1"/>
  <c r="D23" i="29"/>
  <c r="I23" i="29" s="1"/>
  <c r="D15" i="29"/>
  <c r="I15" i="29" s="1"/>
  <c r="D7" i="29"/>
  <c r="I7" i="29" s="1"/>
  <c r="D30" i="29"/>
  <c r="I30" i="29" s="1"/>
  <c r="D22" i="29"/>
  <c r="I22" i="29" s="1"/>
  <c r="D14" i="29"/>
  <c r="I14" i="29" s="1"/>
  <c r="D6" i="29"/>
  <c r="I6" i="29" s="1"/>
  <c r="D19" i="29"/>
  <c r="I19" i="29" s="1"/>
  <c r="D29" i="29"/>
  <c r="I29" i="29" s="1"/>
  <c r="D21" i="29"/>
  <c r="I21" i="29" s="1"/>
  <c r="D13" i="29"/>
  <c r="I13" i="29" s="1"/>
  <c r="D5" i="29"/>
  <c r="I5" i="29" s="1"/>
  <c r="D28" i="29"/>
  <c r="I28" i="29" s="1"/>
  <c r="D20" i="29"/>
  <c r="I20" i="29" s="1"/>
  <c r="D12" i="29"/>
  <c r="I12" i="29" s="1"/>
  <c r="D27" i="29"/>
  <c r="I27" i="29" s="1"/>
  <c r="D11" i="29"/>
  <c r="I11" i="29" s="1"/>
  <c r="D26" i="29"/>
  <c r="I26" i="29" s="1"/>
  <c r="D18" i="29"/>
  <c r="I18" i="29" s="1"/>
  <c r="D10" i="29"/>
  <c r="I10" i="29" s="1"/>
  <c r="R16" i="7"/>
  <c r="V11" i="24"/>
  <c r="V11" i="8"/>
  <c r="T11" i="11" s="1"/>
  <c r="Q37" i="7"/>
  <c r="P37" i="7" a="1"/>
  <c r="P37" i="7" s="1"/>
  <c r="T27" i="24"/>
  <c r="T27" i="8"/>
  <c r="R27" i="11" s="1"/>
  <c r="N29" i="24"/>
  <c r="N25" i="8"/>
  <c r="N25" i="11" s="1"/>
  <c r="Z19" i="7"/>
  <c r="AE3" i="24"/>
  <c r="AE9" i="8"/>
  <c r="AC9" i="11" s="1"/>
  <c r="Z10" i="7"/>
  <c r="J32" i="14"/>
  <c r="J28" i="14"/>
  <c r="J24" i="14"/>
  <c r="J20" i="14"/>
  <c r="J16" i="14"/>
  <c r="J12" i="14"/>
  <c r="J8" i="14"/>
  <c r="J4" i="14"/>
  <c r="J31" i="14"/>
  <c r="J27" i="14"/>
  <c r="J23" i="14"/>
  <c r="J19" i="14"/>
  <c r="J15" i="14"/>
  <c r="J11" i="14"/>
  <c r="J7" i="14"/>
  <c r="J25" i="14"/>
  <c r="J21" i="14"/>
  <c r="J9" i="14"/>
  <c r="J30" i="14"/>
  <c r="J26" i="14"/>
  <c r="J22" i="14"/>
  <c r="J18" i="14"/>
  <c r="J14" i="14"/>
  <c r="J10" i="14"/>
  <c r="J6" i="14"/>
  <c r="J29" i="14"/>
  <c r="J17" i="14"/>
  <c r="J13" i="14"/>
  <c r="J5" i="14"/>
  <c r="B6" i="29"/>
  <c r="E33" i="14"/>
  <c r="Q8" i="7"/>
  <c r="P8" i="7" a="1"/>
  <c r="P8" i="7" s="1"/>
  <c r="T5" i="24"/>
  <c r="T5" i="8"/>
  <c r="R5" i="11" s="1"/>
  <c r="Q35" i="7"/>
  <c r="P35" i="7" a="1"/>
  <c r="P35" i="7" s="1"/>
  <c r="T29" i="24"/>
  <c r="T25" i="8"/>
  <c r="R25" i="11" s="1"/>
  <c r="Q15" i="7"/>
  <c r="V15" i="7" s="1"/>
  <c r="T24" i="24"/>
  <c r="P15" i="7" a="1"/>
  <c r="P15" i="7" s="1"/>
  <c r="T10" i="8"/>
  <c r="R10" i="11" s="1"/>
  <c r="Z12" i="24"/>
  <c r="Z12" i="8"/>
  <c r="X12" i="11" s="1"/>
  <c r="P38" i="7" a="1"/>
  <c r="P38" i="7" s="1"/>
  <c r="Q38" i="7"/>
  <c r="T26" i="24"/>
  <c r="T28" i="8"/>
  <c r="R28" i="11" s="1"/>
  <c r="E27" i="24"/>
  <c r="E27" i="8"/>
  <c r="E27" i="11" s="1"/>
  <c r="V39" i="7"/>
  <c r="R39" i="7"/>
  <c r="V25" i="24"/>
  <c r="V29" i="8"/>
  <c r="T29" i="11" s="1"/>
  <c r="Z28" i="7"/>
  <c r="AE22" i="24"/>
  <c r="AE14" i="8"/>
  <c r="AC14" i="11" s="1"/>
  <c r="G11" i="20"/>
  <c r="C15" i="4" s="1"/>
  <c r="J15" i="4" s="1"/>
  <c r="Q17" i="7"/>
  <c r="V17" i="7" s="1"/>
  <c r="P17" i="7" a="1"/>
  <c r="P17" i="7" s="1"/>
  <c r="T12" i="24"/>
  <c r="T12" i="8"/>
  <c r="R12" i="11" s="1"/>
  <c r="Q22" i="7"/>
  <c r="P22" i="7" a="1"/>
  <c r="P22" i="7" s="1"/>
  <c r="T10" i="24"/>
  <c r="T15" i="8"/>
  <c r="R15" i="11" s="1"/>
  <c r="P33" i="7" a="1"/>
  <c r="P33" i="7" s="1"/>
  <c r="T23" i="24"/>
  <c r="Q33" i="7"/>
  <c r="T23" i="8"/>
  <c r="R23" i="11" s="1"/>
  <c r="Z3" i="24"/>
  <c r="Z9" i="8"/>
  <c r="X9" i="11" s="1"/>
  <c r="U19" i="24"/>
  <c r="U19" i="8"/>
  <c r="S19" i="11" s="1"/>
  <c r="L6" i="19"/>
  <c r="M6" i="19" s="1"/>
  <c r="Q12" i="7"/>
  <c r="T16" i="24"/>
  <c r="P12" i="7" a="1"/>
  <c r="P12" i="7" s="1"/>
  <c r="T7" i="8"/>
  <c r="R7" i="11" s="1"/>
  <c r="AE14" i="24"/>
  <c r="AE22" i="8"/>
  <c r="AC22" i="11" s="1"/>
  <c r="Q24" i="7"/>
  <c r="P24" i="7" a="1"/>
  <c r="P24" i="7" s="1"/>
  <c r="T17" i="24"/>
  <c r="T17" i="8"/>
  <c r="R17" i="11" s="1"/>
  <c r="Q14" i="7"/>
  <c r="T3" i="24"/>
  <c r="P14" i="7" a="1"/>
  <c r="P14" i="7" s="1"/>
  <c r="T9" i="8"/>
  <c r="R9" i="11" s="1"/>
  <c r="Z24" i="24"/>
  <c r="Z10" i="8"/>
  <c r="X10" i="11" s="1"/>
  <c r="G19" i="19"/>
  <c r="C8" i="4" s="1"/>
  <c r="J8" i="4" s="1"/>
  <c r="U9" i="24"/>
  <c r="U6" i="8"/>
  <c r="S6" i="11" s="1"/>
  <c r="U2" i="24"/>
  <c r="U2" i="8"/>
  <c r="S2" i="11" s="1"/>
  <c r="V26" i="7"/>
  <c r="R26" i="7"/>
  <c r="V19" i="24"/>
  <c r="V19" i="8"/>
  <c r="T19" i="11" s="1"/>
  <c r="H24" i="14" l="1"/>
  <c r="G14" i="14"/>
  <c r="H23" i="14"/>
  <c r="H17" i="14"/>
  <c r="G16" i="14"/>
  <c r="H26" i="14"/>
  <c r="H14" i="14"/>
  <c r="H16" i="14"/>
  <c r="H11" i="14"/>
  <c r="H4" i="14"/>
  <c r="H5" i="14"/>
  <c r="B4" i="29"/>
  <c r="H15" i="14"/>
  <c r="H8" i="14"/>
  <c r="H9" i="14"/>
  <c r="H6" i="14"/>
  <c r="H19" i="14"/>
  <c r="H12" i="14"/>
  <c r="H13" i="14"/>
  <c r="H10" i="14"/>
  <c r="H27" i="14"/>
  <c r="H20" i="14"/>
  <c r="G18" i="14"/>
  <c r="G23" i="14"/>
  <c r="G20" i="14"/>
  <c r="G21" i="14"/>
  <c r="G22" i="14"/>
  <c r="G27" i="14"/>
  <c r="G24" i="14"/>
  <c r="G25" i="14"/>
  <c r="G26" i="14"/>
  <c r="G31" i="14"/>
  <c r="G28" i="14"/>
  <c r="G29" i="14"/>
  <c r="G30" i="14"/>
  <c r="B3" i="29"/>
  <c r="D3" i="27" s="1"/>
  <c r="E3" i="29" s="1"/>
  <c r="E5" i="29" s="1" a="1"/>
  <c r="E18" i="29" s="1"/>
  <c r="F18" i="29" s="1" a="1"/>
  <c r="F18" i="29" s="1"/>
  <c r="G32" i="14"/>
  <c r="G7" i="14"/>
  <c r="G4" i="14"/>
  <c r="G5" i="14"/>
  <c r="G6" i="14"/>
  <c r="G11" i="14"/>
  <c r="G8" i="14"/>
  <c r="G9" i="14"/>
  <c r="G10" i="14"/>
  <c r="G15" i="14"/>
  <c r="G12" i="14"/>
  <c r="H42" i="14"/>
  <c r="H45" i="14"/>
  <c r="H41" i="14"/>
  <c r="H47" i="14"/>
  <c r="H49" i="14"/>
  <c r="H44" i="14"/>
  <c r="H39" i="14"/>
  <c r="H53" i="14"/>
  <c r="H56" i="14"/>
  <c r="H50" i="14"/>
  <c r="H62" i="14"/>
  <c r="H63" i="14"/>
  <c r="H54" i="14"/>
  <c r="H57" i="14"/>
  <c r="H58" i="14"/>
  <c r="H61" i="14"/>
  <c r="H55" i="14"/>
  <c r="H40" i="14"/>
  <c r="H46" i="14"/>
  <c r="H51" i="14"/>
  <c r="H52" i="14"/>
  <c r="H64" i="14"/>
  <c r="H37" i="14"/>
  <c r="H38" i="14"/>
  <c r="H43" i="14"/>
  <c r="H48" i="14"/>
  <c r="H59" i="14"/>
  <c r="H36" i="14"/>
  <c r="AA12" i="24"/>
  <c r="AA12" i="8"/>
  <c r="AA25" i="24"/>
  <c r="AA29" i="8"/>
  <c r="W16" i="7"/>
  <c r="W11" i="24"/>
  <c r="W11" i="8"/>
  <c r="J28" i="29"/>
  <c r="O28" i="29"/>
  <c r="J22" i="29"/>
  <c r="O22" i="29"/>
  <c r="O24" i="29"/>
  <c r="J24" i="29"/>
  <c r="U3" i="24"/>
  <c r="U9" i="8"/>
  <c r="S9" i="11" s="1"/>
  <c r="O10" i="29"/>
  <c r="J10" i="29"/>
  <c r="J5" i="29"/>
  <c r="O5" i="29"/>
  <c r="J30" i="29"/>
  <c r="O30" i="29"/>
  <c r="O32" i="29"/>
  <c r="J32" i="29"/>
  <c r="V40" i="7"/>
  <c r="R40" i="7"/>
  <c r="V30" i="24"/>
  <c r="V30" i="8"/>
  <c r="T30" i="11" s="1"/>
  <c r="U14" i="24"/>
  <c r="U22" i="8"/>
  <c r="S22" i="11" s="1"/>
  <c r="U22" i="24"/>
  <c r="U14" i="8"/>
  <c r="S14" i="11" s="1"/>
  <c r="U8" i="24"/>
  <c r="U8" i="8"/>
  <c r="S8" i="11" s="1"/>
  <c r="AA24" i="24"/>
  <c r="AA10" i="8"/>
  <c r="U23" i="24"/>
  <c r="U23" i="8"/>
  <c r="S23" i="11" s="1"/>
  <c r="U29" i="24"/>
  <c r="U25" i="8"/>
  <c r="S25" i="11" s="1"/>
  <c r="J20" i="29"/>
  <c r="O20" i="29"/>
  <c r="O16" i="29"/>
  <c r="J16" i="29"/>
  <c r="U28" i="24"/>
  <c r="U24" i="8"/>
  <c r="S24" i="11" s="1"/>
  <c r="W36" i="7"/>
  <c r="W15" i="24"/>
  <c r="W26" i="8"/>
  <c r="V23" i="7"/>
  <c r="R23" i="7"/>
  <c r="V7" i="24"/>
  <c r="V16" i="8"/>
  <c r="T16" i="11" s="1"/>
  <c r="W2" i="24"/>
  <c r="W2" i="8"/>
  <c r="U2" i="11" s="1"/>
  <c r="W5" i="7"/>
  <c r="O18" i="29"/>
  <c r="J18" i="29"/>
  <c r="J13" i="29"/>
  <c r="O13" i="29"/>
  <c r="O7" i="29"/>
  <c r="J7" i="29"/>
  <c r="O9" i="29"/>
  <c r="J9" i="29"/>
  <c r="V25" i="7"/>
  <c r="R25" i="7"/>
  <c r="V18" i="24"/>
  <c r="V18" i="8"/>
  <c r="T18" i="11" s="1"/>
  <c r="W9" i="24"/>
  <c r="W6" i="8"/>
  <c r="W9" i="7"/>
  <c r="V32" i="7"/>
  <c r="R32" i="7"/>
  <c r="V14" i="24"/>
  <c r="V22" i="8"/>
  <c r="T22" i="11" s="1"/>
  <c r="V21" i="7"/>
  <c r="R21" i="7"/>
  <c r="V22" i="24"/>
  <c r="V14" i="8"/>
  <c r="T14" i="11" s="1"/>
  <c r="R13" i="7"/>
  <c r="V8" i="24"/>
  <c r="V8" i="8"/>
  <c r="T8" i="11" s="1"/>
  <c r="R14" i="7"/>
  <c r="V3" i="24"/>
  <c r="V9" i="8"/>
  <c r="T9" i="11" s="1"/>
  <c r="U16" i="24"/>
  <c r="U7" i="8"/>
  <c r="S7" i="11" s="1"/>
  <c r="V14" i="7"/>
  <c r="R22" i="7"/>
  <c r="V22" i="7"/>
  <c r="V10" i="24"/>
  <c r="V15" i="8"/>
  <c r="T15" i="11" s="1"/>
  <c r="U5" i="24"/>
  <c r="U5" i="8"/>
  <c r="S5" i="11" s="1"/>
  <c r="O26" i="29"/>
  <c r="J26" i="29"/>
  <c r="J21" i="29"/>
  <c r="O21" i="29"/>
  <c r="O15" i="29"/>
  <c r="J15" i="29"/>
  <c r="O17" i="29"/>
  <c r="J17" i="29"/>
  <c r="V27" i="7"/>
  <c r="R27" i="7"/>
  <c r="V20" i="24"/>
  <c r="V20" i="8"/>
  <c r="T20" i="11" s="1"/>
  <c r="W4" i="24"/>
  <c r="W4" i="8"/>
  <c r="W7" i="7"/>
  <c r="AA11" i="24"/>
  <c r="AA11" i="8"/>
  <c r="U18" i="24"/>
  <c r="U18" i="8"/>
  <c r="S18" i="11" s="1"/>
  <c r="AA9" i="24"/>
  <c r="AA6" i="8"/>
  <c r="U30" i="24"/>
  <c r="U30" i="8"/>
  <c r="S30" i="11" s="1"/>
  <c r="V38" i="7"/>
  <c r="R38" i="7"/>
  <c r="V26" i="24"/>
  <c r="V28" i="8"/>
  <c r="T28" i="11" s="1"/>
  <c r="R15" i="7"/>
  <c r="V24" i="24"/>
  <c r="V10" i="8"/>
  <c r="T10" i="11" s="1"/>
  <c r="R8" i="7"/>
  <c r="V8" i="7"/>
  <c r="V5" i="24"/>
  <c r="V5" i="8"/>
  <c r="T5" i="11" s="1"/>
  <c r="U27" i="24"/>
  <c r="U27" i="8"/>
  <c r="S27" i="11" s="1"/>
  <c r="O11" i="29"/>
  <c r="J11" i="29"/>
  <c r="J29" i="29"/>
  <c r="O29" i="29"/>
  <c r="O23" i="29"/>
  <c r="J23" i="29"/>
  <c r="O25" i="29"/>
  <c r="J25" i="29"/>
  <c r="V13" i="7"/>
  <c r="U20" i="24"/>
  <c r="U20" i="8"/>
  <c r="S20" i="11" s="1"/>
  <c r="AA4" i="24"/>
  <c r="AA4" i="8"/>
  <c r="U13" i="24"/>
  <c r="U13" i="8"/>
  <c r="S13" i="11" s="1"/>
  <c r="I32" i="14"/>
  <c r="I28" i="14"/>
  <c r="I24" i="14"/>
  <c r="I20" i="14"/>
  <c r="I16" i="14"/>
  <c r="I12" i="14"/>
  <c r="I8" i="14"/>
  <c r="I4" i="14"/>
  <c r="I31" i="14"/>
  <c r="I27" i="14"/>
  <c r="I23" i="14"/>
  <c r="I19" i="14"/>
  <c r="I15" i="14"/>
  <c r="I11" i="14"/>
  <c r="I7" i="14"/>
  <c r="B5" i="29"/>
  <c r="I30" i="14"/>
  <c r="I26" i="14"/>
  <c r="I22" i="14"/>
  <c r="I18" i="14"/>
  <c r="I14" i="14"/>
  <c r="I10" i="14"/>
  <c r="I6" i="14"/>
  <c r="I29" i="14"/>
  <c r="I25" i="14"/>
  <c r="I21" i="14"/>
  <c r="I17" i="14"/>
  <c r="I13" i="14"/>
  <c r="I9" i="14"/>
  <c r="I5" i="14"/>
  <c r="V37" i="7"/>
  <c r="R37" i="7"/>
  <c r="V27" i="24"/>
  <c r="V27" i="8"/>
  <c r="T27" i="11" s="1"/>
  <c r="O27" i="29"/>
  <c r="J27" i="29"/>
  <c r="O19" i="29"/>
  <c r="J19" i="29"/>
  <c r="O31" i="29"/>
  <c r="J31" i="29"/>
  <c r="O33" i="29"/>
  <c r="J33" i="29"/>
  <c r="M9" i="19"/>
  <c r="C11" i="4" s="1"/>
  <c r="J9" i="4" s="1"/>
  <c r="R18" i="7"/>
  <c r="V13" i="24"/>
  <c r="V13" i="8"/>
  <c r="T13" i="11" s="1"/>
  <c r="U21" i="24"/>
  <c r="U21" i="8"/>
  <c r="S21" i="11" s="1"/>
  <c r="U6" i="24"/>
  <c r="U3" i="8"/>
  <c r="S3" i="11" s="1"/>
  <c r="AA19" i="24"/>
  <c r="AA19" i="8"/>
  <c r="V24" i="7"/>
  <c r="V17" i="24"/>
  <c r="R24" i="7"/>
  <c r="V17" i="8"/>
  <c r="T17" i="11" s="1"/>
  <c r="R17" i="7"/>
  <c r="V12" i="24"/>
  <c r="V12" i="8"/>
  <c r="T12" i="11" s="1"/>
  <c r="J14" i="29"/>
  <c r="O14" i="29"/>
  <c r="V35" i="7"/>
  <c r="R35" i="7"/>
  <c r="V29" i="24"/>
  <c r="V25" i="8"/>
  <c r="T25" i="11" s="1"/>
  <c r="V34" i="7"/>
  <c r="R34" i="7"/>
  <c r="V28" i="24"/>
  <c r="V24" i="8"/>
  <c r="T24" i="11" s="1"/>
  <c r="AA15" i="24"/>
  <c r="AA26" i="8"/>
  <c r="U10" i="24"/>
  <c r="U15" i="8"/>
  <c r="S15" i="11" s="1"/>
  <c r="U24" i="24"/>
  <c r="U10" i="8"/>
  <c r="S10" i="11" s="1"/>
  <c r="R12" i="7"/>
  <c r="V16" i="24"/>
  <c r="V7" i="8"/>
  <c r="T7" i="11" s="1"/>
  <c r="V12" i="7"/>
  <c r="V33" i="7"/>
  <c r="R33" i="7"/>
  <c r="V23" i="24"/>
  <c r="V23" i="8"/>
  <c r="T23" i="11" s="1"/>
  <c r="U26" i="24"/>
  <c r="U28" i="8"/>
  <c r="S28" i="11" s="1"/>
  <c r="W26" i="7"/>
  <c r="W19" i="24"/>
  <c r="W19" i="8"/>
  <c r="U17" i="24"/>
  <c r="U17" i="8"/>
  <c r="S17" i="11" s="1"/>
  <c r="U12" i="24"/>
  <c r="U12" i="8"/>
  <c r="S12" i="11" s="1"/>
  <c r="W39" i="7"/>
  <c r="W25" i="24"/>
  <c r="W29" i="8"/>
  <c r="J12" i="29"/>
  <c r="O12" i="29"/>
  <c r="J6" i="29"/>
  <c r="O6" i="29"/>
  <c r="O8" i="29"/>
  <c r="J8" i="29"/>
  <c r="U7" i="24"/>
  <c r="U16" i="8"/>
  <c r="S16" i="11" s="1"/>
  <c r="AA2" i="24"/>
  <c r="AA2" i="8"/>
  <c r="V18" i="7"/>
  <c r="V31" i="7"/>
  <c r="R31" i="7"/>
  <c r="V21" i="24"/>
  <c r="V21" i="8"/>
  <c r="T21" i="11" s="1"/>
  <c r="R6" i="7"/>
  <c r="V6" i="7"/>
  <c r="V6" i="24"/>
  <c r="V3" i="8"/>
  <c r="T3" i="11" s="1"/>
  <c r="E24" i="29" l="1"/>
  <c r="F24" i="29" s="1" a="1"/>
  <c r="F24" i="29" s="1"/>
  <c r="E10" i="29"/>
  <c r="F10" i="29" s="1" a="1"/>
  <c r="F10" i="29" s="1"/>
  <c r="K10" i="29" s="1"/>
  <c r="E21" i="29"/>
  <c r="F21" i="29" s="1" a="1"/>
  <c r="F21" i="29" s="1"/>
  <c r="E20" i="29"/>
  <c r="F20" i="29" s="1" a="1"/>
  <c r="F20" i="29" s="1"/>
  <c r="E11" i="29"/>
  <c r="F11" i="29" s="1" a="1"/>
  <c r="F11" i="29" s="1"/>
  <c r="G11" i="29" s="1" a="1"/>
  <c r="G11" i="29" s="1"/>
  <c r="L11" i="29" s="1"/>
  <c r="E30" i="29"/>
  <c r="F30" i="29" s="1" a="1"/>
  <c r="F30" i="29" s="1"/>
  <c r="E23" i="29"/>
  <c r="F23" i="29" s="1" a="1"/>
  <c r="F23" i="29" s="1"/>
  <c r="G23" i="29" s="1" a="1"/>
  <c r="G23" i="29" s="1"/>
  <c r="L23" i="29" s="1"/>
  <c r="E13" i="29"/>
  <c r="F13" i="29" s="1" a="1"/>
  <c r="F13" i="29" s="1"/>
  <c r="K13" i="29" s="1"/>
  <c r="E9" i="29"/>
  <c r="F9" i="29" s="1" a="1"/>
  <c r="F9" i="29" s="1"/>
  <c r="G9" i="29" s="1" a="1"/>
  <c r="G9" i="29" s="1"/>
  <c r="L9" i="29" s="1"/>
  <c r="E28" i="29"/>
  <c r="F28" i="29" s="1" a="1"/>
  <c r="F28" i="29" s="1"/>
  <c r="K28" i="29" s="1"/>
  <c r="E8" i="29"/>
  <c r="F8" i="29" s="1" a="1"/>
  <c r="F8" i="29" s="1"/>
  <c r="G8" i="29" s="1" a="1"/>
  <c r="G8" i="29" s="1"/>
  <c r="L8" i="29" s="1"/>
  <c r="E19" i="29"/>
  <c r="F19" i="29" s="1" a="1"/>
  <c r="F19" i="29" s="1"/>
  <c r="E14" i="29"/>
  <c r="F14" i="29" s="1" a="1"/>
  <c r="F14" i="29" s="1"/>
  <c r="G14" i="29" s="1" a="1"/>
  <c r="G14" i="29" s="1"/>
  <c r="L14" i="29" s="1"/>
  <c r="E32" i="29"/>
  <c r="F32" i="29" s="1" a="1"/>
  <c r="F32" i="29" s="1"/>
  <c r="G32" i="29" s="1" a="1"/>
  <c r="G32" i="29" s="1"/>
  <c r="L32" i="29" s="1"/>
  <c r="E15" i="29"/>
  <c r="F15" i="29" s="1" a="1"/>
  <c r="F15" i="29" s="1"/>
  <c r="K15" i="29" s="1"/>
  <c r="E25" i="29"/>
  <c r="F25" i="29" s="1" a="1"/>
  <c r="F25" i="29" s="1"/>
  <c r="E31" i="29"/>
  <c r="F31" i="29" s="1" a="1"/>
  <c r="F31" i="29" s="1"/>
  <c r="K31" i="29" s="1"/>
  <c r="E26" i="29"/>
  <c r="F26" i="29" s="1" a="1"/>
  <c r="F26" i="29" s="1"/>
  <c r="G26" i="29" s="1" a="1"/>
  <c r="G26" i="29" s="1"/>
  <c r="L26" i="29" s="1"/>
  <c r="E6" i="29"/>
  <c r="F6" i="29" s="1" a="1"/>
  <c r="F6" i="29" s="1"/>
  <c r="G6" i="29" s="1" a="1"/>
  <c r="G6" i="29" s="1"/>
  <c r="L6" i="29" s="1"/>
  <c r="E5" i="29"/>
  <c r="F5" i="29" s="1" a="1"/>
  <c r="F5" i="29" s="1"/>
  <c r="K5" i="29" s="1"/>
  <c r="E17" i="29"/>
  <c r="F17" i="29" s="1" a="1"/>
  <c r="F17" i="29" s="1"/>
  <c r="E27" i="29"/>
  <c r="F27" i="29" s="1" a="1"/>
  <c r="F27" i="29" s="1"/>
  <c r="G27" i="29" s="1" a="1"/>
  <c r="G27" i="29" s="1"/>
  <c r="L27" i="29" s="1"/>
  <c r="E22" i="29"/>
  <c r="F22" i="29" s="1" a="1"/>
  <c r="F22" i="29" s="1"/>
  <c r="K22" i="29" s="1"/>
  <c r="E29" i="29"/>
  <c r="F29" i="29" s="1" a="1"/>
  <c r="F29" i="29" s="1"/>
  <c r="G29" i="29" s="1" a="1"/>
  <c r="G29" i="29" s="1"/>
  <c r="L29" i="29" s="1"/>
  <c r="E33" i="29"/>
  <c r="F33" i="29" s="1" a="1"/>
  <c r="F33" i="29" s="1"/>
  <c r="G33" i="29" s="1" a="1"/>
  <c r="G33" i="29" s="1"/>
  <c r="L33" i="29" s="1"/>
  <c r="E12" i="29"/>
  <c r="F12" i="29" s="1" a="1"/>
  <c r="F12" i="29" s="1"/>
  <c r="K12" i="29" s="1"/>
  <c r="E7" i="29"/>
  <c r="F7" i="29" s="1" a="1"/>
  <c r="F7" i="29" s="1"/>
  <c r="G7" i="29" s="1" a="1"/>
  <c r="G7" i="29" s="1"/>
  <c r="L7" i="29" s="1"/>
  <c r="E16" i="29"/>
  <c r="F16" i="29" s="1" a="1"/>
  <c r="F16" i="29" s="1"/>
  <c r="G16" i="29" s="1" a="1"/>
  <c r="G16" i="29" s="1"/>
  <c r="L16" i="29" s="1"/>
  <c r="H65" i="14"/>
  <c r="AA21" i="24"/>
  <c r="AA21" i="8"/>
  <c r="W34" i="7"/>
  <c r="W28" i="24"/>
  <c r="W24" i="8"/>
  <c r="AA22" i="24"/>
  <c r="AA14" i="8"/>
  <c r="L44" i="14"/>
  <c r="Y10" i="11"/>
  <c r="G22" i="29" a="1"/>
  <c r="G22" i="29" s="1"/>
  <c r="L22" i="29" s="1"/>
  <c r="AA30" i="24"/>
  <c r="AA30" i="8"/>
  <c r="AB25" i="24"/>
  <c r="AB29" i="8"/>
  <c r="AA17" i="24"/>
  <c r="AA17" i="8"/>
  <c r="AA5" i="24"/>
  <c r="AA5" i="8"/>
  <c r="AA28" i="24"/>
  <c r="AA24" i="8"/>
  <c r="AA8" i="24"/>
  <c r="AA8" i="8"/>
  <c r="L40" i="14"/>
  <c r="Y6" i="11"/>
  <c r="W3" i="24"/>
  <c r="W9" i="8"/>
  <c r="W14" i="7"/>
  <c r="W23" i="7"/>
  <c r="W7" i="24"/>
  <c r="W16" i="8"/>
  <c r="G30" i="29" a="1"/>
  <c r="G30" i="29" s="1"/>
  <c r="L30" i="29" s="1"/>
  <c r="K30" i="29"/>
  <c r="AA26" i="24"/>
  <c r="AA28" i="8"/>
  <c r="AA13" i="24"/>
  <c r="AA13" i="8"/>
  <c r="L36" i="14"/>
  <c r="Y2" i="11"/>
  <c r="W23" i="24"/>
  <c r="W23" i="8"/>
  <c r="W33" i="7"/>
  <c r="W17" i="7"/>
  <c r="W12" i="24"/>
  <c r="W12" i="8"/>
  <c r="W24" i="24"/>
  <c r="W10" i="8"/>
  <c r="W15" i="7"/>
  <c r="AA10" i="24"/>
  <c r="AA15" i="8"/>
  <c r="W25" i="7"/>
  <c r="W18" i="24"/>
  <c r="W18" i="8"/>
  <c r="AA7" i="24"/>
  <c r="AA16" i="8"/>
  <c r="K18" i="29"/>
  <c r="G18" i="29" a="1"/>
  <c r="G18" i="29" s="1"/>
  <c r="L18" i="29" s="1"/>
  <c r="AA6" i="24"/>
  <c r="AA3" i="8"/>
  <c r="AA23" i="24"/>
  <c r="AA23" i="8"/>
  <c r="W27" i="24"/>
  <c r="W27" i="8"/>
  <c r="W37" i="7"/>
  <c r="W10" i="24"/>
  <c r="W15" i="8"/>
  <c r="W22" i="7"/>
  <c r="W14" i="24"/>
  <c r="W22" i="8"/>
  <c r="W32" i="7"/>
  <c r="AA18" i="24"/>
  <c r="AA18" i="8"/>
  <c r="K20" i="29"/>
  <c r="G20" i="29" a="1"/>
  <c r="G20" i="29" s="1"/>
  <c r="L20" i="29" s="1"/>
  <c r="G24" i="29" a="1"/>
  <c r="G24" i="29" s="1"/>
  <c r="L24" i="29" s="1"/>
  <c r="K24" i="29"/>
  <c r="AB11" i="24"/>
  <c r="AB11" i="8"/>
  <c r="L63" i="14"/>
  <c r="Y29" i="11"/>
  <c r="AA16" i="24"/>
  <c r="AA7" i="8"/>
  <c r="F19" i="31"/>
  <c r="L60" i="14"/>
  <c r="Y26" i="11"/>
  <c r="W29" i="24"/>
  <c r="W25" i="8"/>
  <c r="W35" i="7"/>
  <c r="W17" i="24"/>
  <c r="W17" i="8"/>
  <c r="W24" i="7"/>
  <c r="AA27" i="24"/>
  <c r="AA27" i="8"/>
  <c r="W27" i="7"/>
  <c r="W20" i="24"/>
  <c r="W20" i="8"/>
  <c r="AA3" i="24"/>
  <c r="AA9" i="8"/>
  <c r="W13" i="7"/>
  <c r="W8" i="24"/>
  <c r="W8" i="8"/>
  <c r="AA14" i="24"/>
  <c r="AA22" i="8"/>
  <c r="F32" i="31" s="1"/>
  <c r="AB2" i="24"/>
  <c r="AB2" i="8"/>
  <c r="K32" i="29"/>
  <c r="AB19" i="24"/>
  <c r="AB19" i="8"/>
  <c r="AA29" i="24"/>
  <c r="AA25" i="8"/>
  <c r="F18" i="31" s="1"/>
  <c r="F10" i="31"/>
  <c r="L38" i="14"/>
  <c r="Y4" i="11"/>
  <c r="W26" i="24"/>
  <c r="W28" i="8"/>
  <c r="W38" i="7"/>
  <c r="L45" i="14"/>
  <c r="Y11" i="11"/>
  <c r="AA20" i="24"/>
  <c r="AA20" i="8"/>
  <c r="AB9" i="24"/>
  <c r="AB6" i="8"/>
  <c r="AB15" i="24"/>
  <c r="AB26" i="8"/>
  <c r="K21" i="29"/>
  <c r="G21" i="29" a="1"/>
  <c r="G21" i="29" s="1"/>
  <c r="L21" i="29" s="1"/>
  <c r="G31" i="29" a="1"/>
  <c r="G31" i="29" s="1"/>
  <c r="L31" i="29" s="1"/>
  <c r="K19" i="29"/>
  <c r="G19" i="29" a="1"/>
  <c r="G19" i="29" s="1"/>
  <c r="L19" i="29" s="1"/>
  <c r="G5" i="29" a="1"/>
  <c r="G5" i="29" s="1"/>
  <c r="L5" i="29" s="1"/>
  <c r="G17" i="29" a="1"/>
  <c r="G17" i="29" s="1"/>
  <c r="L17" i="29" s="1"/>
  <c r="K17" i="29"/>
  <c r="K27" i="29"/>
  <c r="F20" i="31"/>
  <c r="L46" i="14"/>
  <c r="Y12" i="11"/>
  <c r="W6" i="24"/>
  <c r="W3" i="8"/>
  <c r="W6" i="7"/>
  <c r="W21" i="24"/>
  <c r="W21" i="8"/>
  <c r="W31" i="7"/>
  <c r="W16" i="24"/>
  <c r="W7" i="8"/>
  <c r="W12" i="7"/>
  <c r="F14" i="31"/>
  <c r="L53" i="14"/>
  <c r="Y19" i="11"/>
  <c r="W13" i="24"/>
  <c r="W13" i="8"/>
  <c r="W18" i="7"/>
  <c r="W5" i="24"/>
  <c r="W5" i="8"/>
  <c r="W8" i="7"/>
  <c r="AB4" i="24"/>
  <c r="AB4" i="8"/>
  <c r="W22" i="24"/>
  <c r="W14" i="8"/>
  <c r="W21" i="7"/>
  <c r="K14" i="29"/>
  <c r="G25" i="29" a="1"/>
  <c r="G25" i="29" s="1"/>
  <c r="L25" i="29" s="1"/>
  <c r="K25" i="29"/>
  <c r="W30" i="24"/>
  <c r="W30" i="8"/>
  <c r="W40" i="7"/>
  <c r="G13" i="29" l="1" a="1"/>
  <c r="G13" i="29" s="1"/>
  <c r="L13" i="29" s="1"/>
  <c r="K26" i="29"/>
  <c r="K11" i="29"/>
  <c r="K9" i="29"/>
  <c r="G28" i="29" a="1"/>
  <c r="G28" i="29" s="1"/>
  <c r="L28" i="29" s="1"/>
  <c r="K16" i="29"/>
  <c r="G10" i="29" a="1"/>
  <c r="G10" i="29" s="1"/>
  <c r="L10" i="29" s="1"/>
  <c r="N5" i="29" s="1" a="1"/>
  <c r="N5" i="29" s="1"/>
  <c r="K23" i="29"/>
  <c r="G15" i="29" a="1"/>
  <c r="G15" i="29" s="1"/>
  <c r="L15" i="29" s="1"/>
  <c r="F22" i="31"/>
  <c r="K7" i="29"/>
  <c r="G12" i="29" a="1"/>
  <c r="G12" i="29" s="1"/>
  <c r="L12" i="29" s="1"/>
  <c r="K8" i="29"/>
  <c r="F27" i="31"/>
  <c r="K29" i="29"/>
  <c r="F28" i="31"/>
  <c r="K6" i="29"/>
  <c r="K33" i="29"/>
  <c r="F13" i="31"/>
  <c r="L57" i="14"/>
  <c r="Y23" i="11"/>
  <c r="AB18" i="24"/>
  <c r="AB18" i="8"/>
  <c r="AB12" i="24"/>
  <c r="AB12" i="8"/>
  <c r="F35" i="31"/>
  <c r="L51" i="14"/>
  <c r="Y17" i="11"/>
  <c r="L49" i="14"/>
  <c r="F8" i="31"/>
  <c r="Y15" i="11"/>
  <c r="AB10" i="24"/>
  <c r="AB15" i="8"/>
  <c r="F25" i="31"/>
  <c r="L37" i="14"/>
  <c r="Y3" i="11"/>
  <c r="L42" i="14"/>
  <c r="F21" i="31"/>
  <c r="Y8" i="11"/>
  <c r="Z29" i="11"/>
  <c r="AB6" i="24"/>
  <c r="AB3" i="8"/>
  <c r="F17" i="31"/>
  <c r="L54" i="14"/>
  <c r="Y20" i="11"/>
  <c r="AB20" i="24"/>
  <c r="AB20" i="8"/>
  <c r="AB5" i="24"/>
  <c r="AB5" i="8"/>
  <c r="F9" i="31"/>
  <c r="L62" i="14"/>
  <c r="Y28" i="11"/>
  <c r="L59" i="14"/>
  <c r="F11" i="31"/>
  <c r="Y25" i="11"/>
  <c r="AB8" i="24"/>
  <c r="AB8" i="8"/>
  <c r="AB17" i="24"/>
  <c r="AB17" i="8"/>
  <c r="G77" i="14"/>
  <c r="D170" i="14"/>
  <c r="Z11" i="11"/>
  <c r="AB24" i="24"/>
  <c r="AB10" i="8"/>
  <c r="AB7" i="24"/>
  <c r="AB16" i="8"/>
  <c r="AB28" i="24"/>
  <c r="AB24" i="8"/>
  <c r="AB16" i="24"/>
  <c r="AB7" i="8"/>
  <c r="AB30" i="24"/>
  <c r="AB30" i="8"/>
  <c r="G95" i="14" s="1"/>
  <c r="Z26" i="11"/>
  <c r="F16" i="31"/>
  <c r="L43" i="14"/>
  <c r="Y9" i="11"/>
  <c r="F24" i="31"/>
  <c r="L41" i="14"/>
  <c r="Y7" i="11"/>
  <c r="L50" i="14"/>
  <c r="F29" i="31"/>
  <c r="Y16" i="11"/>
  <c r="AB3" i="24"/>
  <c r="AB9" i="8"/>
  <c r="L58" i="14"/>
  <c r="F30" i="31"/>
  <c r="Y24" i="11"/>
  <c r="L64" i="14"/>
  <c r="F31" i="31"/>
  <c r="Y30" i="11"/>
  <c r="L55" i="14"/>
  <c r="F12" i="31"/>
  <c r="Y21" i="11"/>
  <c r="AB26" i="24"/>
  <c r="AB28" i="8"/>
  <c r="G85" i="14"/>
  <c r="E21" i="32"/>
  <c r="Z19" i="11"/>
  <c r="D178" i="14"/>
  <c r="G68" i="14"/>
  <c r="D161" i="14"/>
  <c r="Z2" i="11"/>
  <c r="F23" i="31"/>
  <c r="L52" i="14"/>
  <c r="Y18" i="11"/>
  <c r="AB27" i="24"/>
  <c r="AB27" i="8"/>
  <c r="G92" i="14" s="1"/>
  <c r="L39" i="14"/>
  <c r="F26" i="31"/>
  <c r="Y5" i="11"/>
  <c r="F33" i="31"/>
  <c r="L61" i="14"/>
  <c r="Y27" i="11"/>
  <c r="AB23" i="24"/>
  <c r="AB23" i="8"/>
  <c r="AB22" i="24"/>
  <c r="AB14" i="8"/>
  <c r="AB13" i="24"/>
  <c r="AB13" i="8"/>
  <c r="AB21" i="24"/>
  <c r="AB21" i="8"/>
  <c r="D165" i="14"/>
  <c r="E29" i="32"/>
  <c r="G72" i="14"/>
  <c r="Z6" i="11"/>
  <c r="AB29" i="24"/>
  <c r="AB25" i="8"/>
  <c r="E30" i="32"/>
  <c r="G70" i="14"/>
  <c r="Z4" i="11"/>
  <c r="D163" i="14"/>
  <c r="L56" i="14"/>
  <c r="F36" i="31"/>
  <c r="Y22" i="11"/>
  <c r="AB14" i="24"/>
  <c r="AB22" i="8"/>
  <c r="E23" i="32" s="1"/>
  <c r="L47" i="14"/>
  <c r="F34" i="31"/>
  <c r="Y13" i="11"/>
  <c r="L48" i="14"/>
  <c r="F15" i="31"/>
  <c r="Y14" i="11"/>
  <c r="B5" i="27" l="1" a="1"/>
  <c r="C8" i="27" s="1"/>
  <c r="D185" i="14"/>
  <c r="E14" i="32"/>
  <c r="D188" i="14"/>
  <c r="E9" i="32"/>
  <c r="E36" i="32"/>
  <c r="G91" i="14"/>
  <c r="E18" i="32"/>
  <c r="Z25" i="11"/>
  <c r="D184" i="14"/>
  <c r="G79" i="14"/>
  <c r="E32" i="32"/>
  <c r="D172" i="14"/>
  <c r="Z13" i="11"/>
  <c r="E13" i="32"/>
  <c r="G81" i="14"/>
  <c r="D174" i="14"/>
  <c r="Z15" i="11"/>
  <c r="E33" i="32"/>
  <c r="G78" i="14"/>
  <c r="D171" i="14"/>
  <c r="Z12" i="11"/>
  <c r="E20" i="32"/>
  <c r="G73" i="14"/>
  <c r="Z7" i="11"/>
  <c r="D166" i="14"/>
  <c r="G86" i="14"/>
  <c r="E11" i="32"/>
  <c r="D179" i="14"/>
  <c r="Z20" i="11"/>
  <c r="E28" i="32"/>
  <c r="G90" i="14"/>
  <c r="D183" i="14"/>
  <c r="Z24" i="11"/>
  <c r="E10" i="32"/>
  <c r="G88" i="14"/>
  <c r="D181" i="14"/>
  <c r="Z22" i="11"/>
  <c r="E17" i="32"/>
  <c r="G94" i="14"/>
  <c r="Z28" i="11"/>
  <c r="D187" i="14"/>
  <c r="E15" i="32"/>
  <c r="G82" i="14"/>
  <c r="D175" i="14"/>
  <c r="Z16" i="11"/>
  <c r="G83" i="14"/>
  <c r="E19" i="32"/>
  <c r="Z17" i="11"/>
  <c r="D176" i="14"/>
  <c r="G84" i="14"/>
  <c r="E26" i="32"/>
  <c r="D177" i="14"/>
  <c r="Z18" i="11"/>
  <c r="G69" i="14"/>
  <c r="E34" i="32"/>
  <c r="Z3" i="11"/>
  <c r="D162" i="14"/>
  <c r="D173" i="14"/>
  <c r="G80" i="14"/>
  <c r="E16" i="32"/>
  <c r="Z14" i="11"/>
  <c r="E24" i="32"/>
  <c r="D189" i="14"/>
  <c r="G96" i="14"/>
  <c r="Z30" i="11"/>
  <c r="D169" i="14"/>
  <c r="G76" i="14"/>
  <c r="E8" i="32"/>
  <c r="Z10" i="11"/>
  <c r="E27" i="32"/>
  <c r="G74" i="14"/>
  <c r="D167" i="14"/>
  <c r="Z8" i="11"/>
  <c r="E12" i="32"/>
  <c r="G71" i="14"/>
  <c r="D164" i="14"/>
  <c r="Z5" i="11"/>
  <c r="E35" i="32"/>
  <c r="G89" i="14"/>
  <c r="D182" i="14"/>
  <c r="Z23" i="11"/>
  <c r="E25" i="32"/>
  <c r="G87" i="14"/>
  <c r="D180" i="14"/>
  <c r="Z21" i="11"/>
  <c r="G93" i="14"/>
  <c r="E31" i="32"/>
  <c r="D186" i="14"/>
  <c r="Z27" i="11"/>
  <c r="G75" i="14"/>
  <c r="E22" i="32"/>
  <c r="D168" i="14"/>
  <c r="Z9" i="11"/>
  <c r="C10" i="27" l="1"/>
  <c r="C13" i="27"/>
  <c r="C11" i="27"/>
  <c r="C7" i="27"/>
  <c r="C12" i="27"/>
  <c r="C9" i="27"/>
  <c r="C6" i="27"/>
  <c r="B5" i="27"/>
  <c r="C5" i="27" s="1"/>
  <c r="C14" i="27"/>
  <c r="C15"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tc={141BC689-26D3-424E-909B-B7B0EF9018F1}</author>
    <author>tc={5EC656C6-8513-485F-A6C4-DB5F9697FF79}</author>
    <author>tc={EF67B9CE-65E8-4AA8-ADC1-6BFB8F22AC9D}</author>
    <author>tc={7D658A52-D955-465A-AEAD-3CA8795998C4}</author>
    <author>tc={635EBD58-D40F-4E0A-B8DC-49B28A401FE0}</author>
    <author>tc={66F1F3DB-AA09-403D-B390-04BA84084033}</author>
    <author>tc={A6C3D25E-A9C4-42C7-95C4-7FD44AF6FDD0}</author>
    <author>tc={D7EC9351-731D-451F-9BCE-01766C550D44}</author>
    <author>tc={A0B98E6A-6E8C-4711-AA9E-0CDAB2CC387D}</author>
    <author>tc={877BD420-B112-4FA6-9B80-9D58B723EF8F}</author>
    <author>tc={EC1A92C6-9FCA-4303-BF11-BA5E411356BD}</author>
    <author>tc={AC9BE27C-4127-49F1-9863-85426B1C863B}</author>
    <author>tc={833563AC-BDEA-486D-B91C-E3C148D0DFD1}</author>
  </authors>
  <commentList>
    <comment ref="H5" authorId="0" shapeId="0" xr:uid="{141BC689-26D3-424E-909B-B7B0EF9018F1}">
      <text>
        <t>[Threaded comment]
Your version of Excel allows you to read this threaded comment; however, any edits to it will get removed if the file is opened in a newer version of Excel. Learn more: https://go.microsoft.com/fwlink/?linkid=870924
Comment:
    Gold -&gt; 6.4 Moz / Total GEO  -&gt; 7.8 Moz</t>
      </text>
    </comment>
    <comment ref="S8" authorId="1" shapeId="0" xr:uid="{5EC656C6-8513-485F-A6C4-DB5F9697FF79}">
      <text>
        <t>[Threaded comment]
Your version of Excel allows you to read this threaded comment; however, any edits to it will get removed if the file is opened in a newer version of Excel. Learn more: https://go.microsoft.com/fwlink/?linkid=870924
Comment:
    Only Gold</t>
      </text>
    </comment>
    <comment ref="T12" authorId="2" shapeId="0" xr:uid="{EF67B9CE-65E8-4AA8-ADC1-6BFB8F22AC9D}">
      <text>
        <t>[Threaded comment]
Your version of Excel allows you to read this threaded comment; however, any edits to it will get removed if the file is opened in a newer version of Excel. Learn more: https://go.microsoft.com/fwlink/?linkid=870924
Comment:
    NO AISC on Copper
Reply:
    Assume $2.3/lb</t>
      </text>
    </comment>
    <comment ref="B15" authorId="3" shapeId="0" xr:uid="{7D658A52-D955-465A-AEAD-3CA8795998C4}">
      <text>
        <t>[Threaded comment]
Your version of Excel allows you to read this threaded comment; however, any edits to it will get removed if the file is opened in a newer version of Excel. Learn more: https://go.microsoft.com/fwlink/?linkid=870924
Comment:
    Impressive growth from 2017</t>
      </text>
    </comment>
    <comment ref="B24" authorId="4" shapeId="0" xr:uid="{635EBD58-D40F-4E0A-B8DC-49B28A401FE0}">
      <text>
        <t>[Threaded comment]
Your version of Excel allows you to read this threaded comment; however, any edits to it will get removed if the file is opened in a newer version of Excel. Learn more: https://go.microsoft.com/fwlink/?linkid=870924
Comment:
    poor data</t>
      </text>
    </comment>
    <comment ref="H24" authorId="5" shapeId="0" xr:uid="{66F1F3DB-AA09-403D-B390-04BA84084033}">
      <text>
        <t>[Threaded comment]
Your version of Excel allows you to read this threaded comment; however, any edits to it will get removed if the file is opened in a newer version of Excel. Learn more: https://go.microsoft.com/fwlink/?linkid=870924
Comment:
    estimated</t>
      </text>
    </comment>
    <comment ref="M25" authorId="6" shapeId="0" xr:uid="{A6C3D25E-A9C4-42C7-95C4-7FD44AF6FDD0}">
      <text>
        <t>[Threaded comment]
Your version of Excel allows you to read this threaded comment; however, any edits to it will get removed if the file is opened in a newer version of Excel. Learn more: https://go.microsoft.com/fwlink/?linkid=870924
Comment:
    Assumption</t>
      </text>
    </comment>
    <comment ref="B26" authorId="7" shapeId="0" xr:uid="{D7EC9351-731D-451F-9BCE-01766C550D44}">
      <text>
        <t>[Threaded comment]
Your version of Excel allows you to read this threaded comment; however, any edits to it will get removed if the file is opened in a newer version of Excel. Learn more: https://go.microsoft.com/fwlink/?linkid=870924
Comment:
    Bought by Endeavour: Combined now Largest West African Gold Producer</t>
      </text>
    </comment>
    <comment ref="S27" authorId="8" shapeId="0" xr:uid="{A0B98E6A-6E8C-4711-AA9E-0CDAB2CC387D}">
      <text>
        <t>[Threaded comment]
Your version of Excel allows you to read this threaded comment; however, any edits to it will get removed if the file is opened in a newer version of Excel. Learn more: https://go.microsoft.com/fwlink/?linkid=870924
Comment:
    Resource</t>
      </text>
    </comment>
    <comment ref="B31" authorId="9" shapeId="0" xr:uid="{877BD420-B112-4FA6-9B80-9D58B723EF8F}">
      <text>
        <t>[Threaded comment]
Your version of Excel allows you to read this threaded comment; however, any edits to it will get removed if the file is opened in a newer version of Excel. Learn more: https://go.microsoft.com/fwlink/?linkid=870924
Comment:
    Wont report copper AISC</t>
      </text>
    </comment>
    <comment ref="M32" authorId="10" shapeId="0" xr:uid="{EC1A92C6-9FCA-4303-BF11-BA5E411356BD}">
      <text>
        <t>[Threaded comment]
Your version of Excel allows you to read this threaded comment; however, any edits to it will get removed if the file is opened in a newer version of Excel. Learn more: https://go.microsoft.com/fwlink/?linkid=870924
Comment:
    assumption. Not provided</t>
      </text>
    </comment>
    <comment ref="S34" authorId="11" shapeId="0" xr:uid="{AC9BE27C-4127-49F1-9863-85426B1C863B}">
      <text>
        <t>[Threaded comment]
Your version of Excel allows you to read this threaded comment; however, any edits to it will get removed if the file is opened in a newer version of Excel. Learn more: https://go.microsoft.com/fwlink/?linkid=870924
Comment:
    Resource</t>
      </text>
    </comment>
    <comment ref="M38" authorId="12" shapeId="0" xr:uid="{833563AC-BDEA-486D-B91C-E3C148D0DFD1}">
      <text>
        <t>[Threaded comment]
Your version of Excel allows you to read this threaded comment; however, any edits to it will get removed if the file is opened in a newer version of Excel. Learn more: https://go.microsoft.com/fwlink/?linkid=870924
Comment:
    Assumption</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9">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8"/>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2"/>
        </ext>
      </extLst>
    </bk>
    <bk>
      <extLst>
        <ext uri="{3e2802c4-a4d2-4d8b-9148-e3be6c30e623}">
          <xlrd:rvb i="74"/>
        </ext>
      </extLst>
    </bk>
    <bk>
      <extLst>
        <ext uri="{3e2802c4-a4d2-4d8b-9148-e3be6c30e623}">
          <xlrd:rvb i="77"/>
        </ext>
      </extLst>
    </bk>
    <bk>
      <extLst>
        <ext uri="{3e2802c4-a4d2-4d8b-9148-e3be6c30e623}">
          <xlrd:rvb i="79"/>
        </ext>
      </extLst>
    </bk>
    <bk>
      <extLst>
        <ext uri="{3e2802c4-a4d2-4d8b-9148-e3be6c30e623}">
          <xlrd:rvb i="85"/>
        </ext>
      </extLst>
    </bk>
    <bk>
      <extLst>
        <ext uri="{3e2802c4-a4d2-4d8b-9148-e3be6c30e623}">
          <xlrd:rvb i="87"/>
        </ext>
      </extLst>
    </bk>
    <bk>
      <extLst>
        <ext uri="{3e2802c4-a4d2-4d8b-9148-e3be6c30e623}">
          <xlrd:rvb i="90"/>
        </ext>
      </extLst>
    </bk>
    <bk>
      <extLst>
        <ext uri="{3e2802c4-a4d2-4d8b-9148-e3be6c30e623}">
          <xlrd:rvb i="92"/>
        </ext>
      </extLst>
    </bk>
    <bk>
      <extLst>
        <ext uri="{3e2802c4-a4d2-4d8b-9148-e3be6c30e623}">
          <xlrd:rvb i="94"/>
        </ext>
      </extLst>
    </bk>
    <bk>
      <extLst>
        <ext uri="{3e2802c4-a4d2-4d8b-9148-e3be6c30e623}">
          <xlrd:rvb i="100"/>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4"/>
        </ext>
      </extLst>
    </bk>
    <bk>
      <extLst>
        <ext uri="{3e2802c4-a4d2-4d8b-9148-e3be6c30e623}">
          <xlrd:rvb i="117"/>
        </ext>
      </extLst>
    </bk>
    <bk>
      <extLst>
        <ext uri="{3e2802c4-a4d2-4d8b-9148-e3be6c30e623}">
          <xlrd:rvb i="119"/>
        </ext>
      </extLst>
    </bk>
    <bk>
      <extLst>
        <ext uri="{3e2802c4-a4d2-4d8b-9148-e3be6c30e623}">
          <xlrd:rvb i="125"/>
        </ext>
      </extLst>
    </bk>
    <bk>
      <extLst>
        <ext uri="{3e2802c4-a4d2-4d8b-9148-e3be6c30e623}">
          <xlrd:rvb i="127"/>
        </ext>
      </extLst>
    </bk>
    <bk>
      <extLst>
        <ext uri="{3e2802c4-a4d2-4d8b-9148-e3be6c30e623}">
          <xlrd:rvb i="129"/>
        </ext>
      </extLst>
    </bk>
    <bk>
      <extLst>
        <ext uri="{3e2802c4-a4d2-4d8b-9148-e3be6c30e623}">
          <xlrd:rvb i="131"/>
        </ext>
      </extLst>
    </bk>
    <bk>
      <extLst>
        <ext uri="{3e2802c4-a4d2-4d8b-9148-e3be6c30e623}">
          <xlrd:rvb i="133"/>
        </ext>
      </extLst>
    </bk>
    <bk>
      <extLst>
        <ext uri="{3e2802c4-a4d2-4d8b-9148-e3be6c30e623}">
          <xlrd:rvb i="135"/>
        </ext>
      </extLst>
    </bk>
    <bk>
      <extLst>
        <ext uri="{3e2802c4-a4d2-4d8b-9148-e3be6c30e623}">
          <xlrd:rvb i="137"/>
        </ext>
      </extLst>
    </bk>
    <bk>
      <extLst>
        <ext uri="{3e2802c4-a4d2-4d8b-9148-e3be6c30e623}">
          <xlrd:rvb i="139"/>
        </ext>
      </extLst>
    </bk>
    <bk>
      <extLst>
        <ext uri="{3e2802c4-a4d2-4d8b-9148-e3be6c30e623}">
          <xlrd:rvb i="141"/>
        </ext>
      </extLst>
    </bk>
    <bk>
      <extLst>
        <ext uri="{3e2802c4-a4d2-4d8b-9148-e3be6c30e623}">
          <xlrd:rvb i="143"/>
        </ext>
      </extLst>
    </bk>
    <bk>
      <extLst>
        <ext uri="{3e2802c4-a4d2-4d8b-9148-e3be6c30e623}">
          <xlrd:rvb i="145"/>
        </ext>
      </extLst>
    </bk>
    <bk>
      <extLst>
        <ext uri="{3e2802c4-a4d2-4d8b-9148-e3be6c30e623}">
          <xlrd:rvb i="147"/>
        </ext>
      </extLst>
    </bk>
    <bk>
      <extLst>
        <ext uri="{3e2802c4-a4d2-4d8b-9148-e3be6c30e623}">
          <xlrd:rvb i="149"/>
        </ext>
      </extLst>
    </bk>
    <bk>
      <extLst>
        <ext uri="{3e2802c4-a4d2-4d8b-9148-e3be6c30e623}">
          <xlrd:rvb i="151"/>
        </ext>
      </extLst>
    </bk>
    <bk>
      <extLst>
        <ext uri="{3e2802c4-a4d2-4d8b-9148-e3be6c30e623}">
          <xlrd:rvb i="153"/>
        </ext>
      </extLst>
    </bk>
    <bk>
      <extLst>
        <ext uri="{3e2802c4-a4d2-4d8b-9148-e3be6c30e623}">
          <xlrd:rvb i="155"/>
        </ext>
      </extLst>
    </bk>
    <bk>
      <extLst>
        <ext uri="{3e2802c4-a4d2-4d8b-9148-e3be6c30e623}">
          <xlrd:rvb i="157"/>
        </ext>
      </extLst>
    </bk>
    <bk>
      <extLst>
        <ext uri="{3e2802c4-a4d2-4d8b-9148-e3be6c30e623}">
          <xlrd:rvb i="159"/>
        </ext>
      </extLst>
    </bk>
    <bk>
      <extLst>
        <ext uri="{3e2802c4-a4d2-4d8b-9148-e3be6c30e623}">
          <xlrd:rvb i="161"/>
        </ext>
      </extLst>
    </bk>
    <bk>
      <extLst>
        <ext uri="{3e2802c4-a4d2-4d8b-9148-e3be6c30e623}">
          <xlrd:rvb i="163"/>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5"/>
        </ext>
      </extLst>
    </bk>
    <bk>
      <extLst>
        <ext uri="{3e2802c4-a4d2-4d8b-9148-e3be6c30e623}">
          <xlrd:rvb i="177"/>
        </ext>
      </extLst>
    </bk>
    <bk>
      <extLst>
        <ext uri="{3e2802c4-a4d2-4d8b-9148-e3be6c30e623}">
          <xlrd:rvb i="179"/>
        </ext>
      </extLst>
    </bk>
    <bk>
      <extLst>
        <ext uri="{3e2802c4-a4d2-4d8b-9148-e3be6c30e623}">
          <xlrd:rvb i="181"/>
        </ext>
      </extLst>
    </bk>
    <bk>
      <extLst>
        <ext uri="{3e2802c4-a4d2-4d8b-9148-e3be6c30e623}">
          <xlrd:rvb i="183"/>
        </ext>
      </extLst>
    </bk>
    <bk>
      <extLst>
        <ext uri="{3e2802c4-a4d2-4d8b-9148-e3be6c30e623}">
          <xlrd:rvb i="185"/>
        </ext>
      </extLst>
    </bk>
    <bk>
      <extLst>
        <ext uri="{3e2802c4-a4d2-4d8b-9148-e3be6c30e623}">
          <xlrd:rvb i="187"/>
        </ext>
      </extLst>
    </bk>
    <bk>
      <extLst>
        <ext uri="{3e2802c4-a4d2-4d8b-9148-e3be6c30e623}">
          <xlrd:rvb i="189"/>
        </ext>
      </extLst>
    </bk>
    <bk>
      <extLst>
        <ext uri="{3e2802c4-a4d2-4d8b-9148-e3be6c30e623}">
          <xlrd:rvb i="191"/>
        </ext>
      </extLst>
    </bk>
    <bk>
      <extLst>
        <ext uri="{3e2802c4-a4d2-4d8b-9148-e3be6c30e623}">
          <xlrd:rvb i="193"/>
        </ext>
      </extLst>
    </bk>
    <bk>
      <extLst>
        <ext uri="{3e2802c4-a4d2-4d8b-9148-e3be6c30e623}">
          <xlrd:rvb i="195"/>
        </ext>
      </extLst>
    </bk>
    <bk>
      <extLst>
        <ext uri="{3e2802c4-a4d2-4d8b-9148-e3be6c30e623}">
          <xlrd:rvb i="197"/>
        </ext>
      </extLst>
    </bk>
    <bk>
      <extLst>
        <ext uri="{3e2802c4-a4d2-4d8b-9148-e3be6c30e623}">
          <xlrd:rvb i="199"/>
        </ext>
      </extLst>
    </bk>
    <bk>
      <extLst>
        <ext uri="{3e2802c4-a4d2-4d8b-9148-e3be6c30e623}">
          <xlrd:rvb i="201"/>
        </ext>
      </extLst>
    </bk>
    <bk>
      <extLst>
        <ext uri="{3e2802c4-a4d2-4d8b-9148-e3be6c30e623}">
          <xlrd:rvb i="203"/>
        </ext>
      </extLst>
    </bk>
    <bk>
      <extLst>
        <ext uri="{3e2802c4-a4d2-4d8b-9148-e3be6c30e623}">
          <xlrd:rvb i="205"/>
        </ext>
      </extLst>
    </bk>
    <bk>
      <extLst>
        <ext uri="{3e2802c4-a4d2-4d8b-9148-e3be6c30e623}">
          <xlrd:rvb i="207"/>
        </ext>
      </extLst>
    </bk>
    <bk>
      <extLst>
        <ext uri="{3e2802c4-a4d2-4d8b-9148-e3be6c30e623}">
          <xlrd:rvb i="209"/>
        </ext>
      </extLst>
    </bk>
    <bk>
      <extLst>
        <ext uri="{3e2802c4-a4d2-4d8b-9148-e3be6c30e623}">
          <xlrd:rvb i="211"/>
        </ext>
      </extLst>
    </bk>
    <bk>
      <extLst>
        <ext uri="{3e2802c4-a4d2-4d8b-9148-e3be6c30e623}">
          <xlrd:rvb i="213"/>
        </ext>
      </extLst>
    </bk>
    <bk>
      <extLst>
        <ext uri="{3e2802c4-a4d2-4d8b-9148-e3be6c30e623}">
          <xlrd:rvb i="215"/>
        </ext>
      </extLst>
    </bk>
    <bk>
      <extLst>
        <ext uri="{3e2802c4-a4d2-4d8b-9148-e3be6c30e623}">
          <xlrd:rvb i="217"/>
        </ext>
      </extLst>
    </bk>
    <bk>
      <extLst>
        <ext uri="{3e2802c4-a4d2-4d8b-9148-e3be6c30e623}">
          <xlrd:rvb i="219"/>
        </ext>
      </extLst>
    </bk>
    <bk>
      <extLst>
        <ext uri="{3e2802c4-a4d2-4d8b-9148-e3be6c30e623}">
          <xlrd:rvb i="221"/>
        </ext>
      </extLst>
    </bk>
    <bk>
      <extLst>
        <ext uri="{3e2802c4-a4d2-4d8b-9148-e3be6c30e623}">
          <xlrd:rvb i="223"/>
        </ext>
      </extLst>
    </bk>
    <bk>
      <extLst>
        <ext uri="{3e2802c4-a4d2-4d8b-9148-e3be6c30e623}">
          <xlrd:rvb i="225"/>
        </ext>
      </extLst>
    </bk>
    <bk>
      <extLst>
        <ext uri="{3e2802c4-a4d2-4d8b-9148-e3be6c30e623}">
          <xlrd:rvb i="227"/>
        </ext>
      </extLst>
    </bk>
    <bk>
      <extLst>
        <ext uri="{3e2802c4-a4d2-4d8b-9148-e3be6c30e623}">
          <xlrd:rvb i="229"/>
        </ext>
      </extLst>
    </bk>
    <bk>
      <extLst>
        <ext uri="{3e2802c4-a4d2-4d8b-9148-e3be6c30e623}">
          <xlrd:rvb i="231"/>
        </ext>
      </extLst>
    </bk>
  </futureMetadata>
  <cellMetadata count="1">
    <bk>
      <rc t="1" v="0"/>
    </bk>
  </cellMetadata>
  <valueMetadata count="8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valueMetadata>
</metadata>
</file>

<file path=xl/sharedStrings.xml><?xml version="1.0" encoding="utf-8"?>
<sst xmlns="http://schemas.openxmlformats.org/spreadsheetml/2006/main" count="1037" uniqueCount="317">
  <si>
    <t>Name</t>
  </si>
  <si>
    <t>Agnico-Eagles Mines Ltd</t>
  </si>
  <si>
    <t>Barrick Gold Corp</t>
  </si>
  <si>
    <t>Franco-Nevada</t>
  </si>
  <si>
    <t>Kirkland Lake Gold</t>
  </si>
  <si>
    <t>Large Cap Seniors</t>
  </si>
  <si>
    <t>Alamos Gold</t>
  </si>
  <si>
    <t>AngloGold Ashanti Ltd</t>
  </si>
  <si>
    <t>B2Gold Corp</t>
  </si>
  <si>
    <t>Centerra Gold</t>
  </si>
  <si>
    <t>Price</t>
  </si>
  <si>
    <t>Prod 2018E</t>
  </si>
  <si>
    <t>Prod 2019E</t>
  </si>
  <si>
    <t>Large Cap Sector Average</t>
  </si>
  <si>
    <t>Current Ratio</t>
  </si>
  <si>
    <t>Cash Ratio</t>
  </si>
  <si>
    <t>2019E Liquidity Ratios</t>
  </si>
  <si>
    <t>Debt-Equity</t>
  </si>
  <si>
    <t>Debt-Assest</t>
  </si>
  <si>
    <t>2019E Solvency Ratios</t>
  </si>
  <si>
    <t>Kinross Gold Corp</t>
  </si>
  <si>
    <t>Pretium Resources</t>
  </si>
  <si>
    <t>Royal Gold Inc</t>
  </si>
  <si>
    <t>Mid Cap Seniors Average</t>
  </si>
  <si>
    <t>Eldorado Gold Corp</t>
  </si>
  <si>
    <t>Iamgold Corp</t>
  </si>
  <si>
    <t>Lundin Gold Inc</t>
  </si>
  <si>
    <t>SSR Mining</t>
  </si>
  <si>
    <t>Semafo</t>
  </si>
  <si>
    <t>Torex Gold Resources</t>
  </si>
  <si>
    <t>Centamin Egypt</t>
  </si>
  <si>
    <t>Small Cap Seniors Average</t>
  </si>
  <si>
    <t>Small Cap Juniors</t>
  </si>
  <si>
    <t>Equinox Gold Corp</t>
  </si>
  <si>
    <t>K92 Mining</t>
  </si>
  <si>
    <t>McEwen Mining Inc</t>
  </si>
  <si>
    <t>Dundee Percious Metals</t>
  </si>
  <si>
    <t>New Gold Inc</t>
  </si>
  <si>
    <t>Teranga Gold Corp</t>
  </si>
  <si>
    <t>Victoria Gold Corp</t>
  </si>
  <si>
    <t>Harte Gold</t>
  </si>
  <si>
    <t>TMAC Resources</t>
  </si>
  <si>
    <t>Wesdome Gold Mines Ltd</t>
  </si>
  <si>
    <t>Small Cap Juniors Average</t>
  </si>
  <si>
    <t>Newmont Goldcorp</t>
  </si>
  <si>
    <t>Market Cap (MM)</t>
  </si>
  <si>
    <t xml:space="preserve">Name </t>
  </si>
  <si>
    <t>52 week high</t>
  </si>
  <si>
    <t>52 week low</t>
  </si>
  <si>
    <t>Change (%)</t>
  </si>
  <si>
    <t>Shares outstanding (MM)</t>
  </si>
  <si>
    <t>Change</t>
  </si>
  <si>
    <t>2020 Peak</t>
  </si>
  <si>
    <t>Post Covid Change</t>
  </si>
  <si>
    <t xml:space="preserve">Volume </t>
  </si>
  <si>
    <t>Reasoning</t>
  </si>
  <si>
    <t xml:space="preserve"> 2020 Peak TTD (%)</t>
  </si>
  <si>
    <t>2020E Guidance.Avg</t>
  </si>
  <si>
    <t>Total</t>
  </si>
  <si>
    <t>Trend</t>
  </si>
  <si>
    <t xml:space="preserve">2020E Guidance Revised </t>
  </si>
  <si>
    <t>AISC 2019E</t>
  </si>
  <si>
    <t>AISC 2018E</t>
  </si>
  <si>
    <t>AISC 2020E Guidance</t>
  </si>
  <si>
    <t>AISC Trend</t>
  </si>
  <si>
    <t>Prod Trend</t>
  </si>
  <si>
    <t xml:space="preserve">Gold Ounces Produced </t>
  </si>
  <si>
    <t>Commodity</t>
  </si>
  <si>
    <t>2020 Margin</t>
  </si>
  <si>
    <t>Franco Nevada is only Cash Cost not AISC</t>
  </si>
  <si>
    <t>2020 Ops CF</t>
  </si>
  <si>
    <t>Gold Price $1500USD</t>
  </si>
  <si>
    <t>Copper &amp; GEO</t>
  </si>
  <si>
    <t>2020 Ops CF-Copper</t>
  </si>
  <si>
    <t>Margin %</t>
  </si>
  <si>
    <t>Company</t>
  </si>
  <si>
    <t>Reserves (koz) Gold</t>
  </si>
  <si>
    <t>CFPS</t>
  </si>
  <si>
    <t>S/O</t>
  </si>
  <si>
    <t>2020 P/CFPS</t>
  </si>
  <si>
    <t xml:space="preserve"> 2021 Peak TTD (%)</t>
  </si>
  <si>
    <t>50D MA</t>
  </si>
  <si>
    <t>200D MA</t>
  </si>
  <si>
    <t>Reserves (Moz) Gold</t>
  </si>
  <si>
    <t>2019 P/E</t>
  </si>
  <si>
    <t>2020 P/E</t>
  </si>
  <si>
    <t>REV 3Yr Growth</t>
  </si>
  <si>
    <t xml:space="preserve">ROA% TTM </t>
  </si>
  <si>
    <t xml:space="preserve">ROE % TTM </t>
  </si>
  <si>
    <t>Net Margin% TTM</t>
  </si>
  <si>
    <t>2019 EPS</t>
  </si>
  <si>
    <t>Profitability</t>
  </si>
  <si>
    <t xml:space="preserve">Large Cap Seniors </t>
  </si>
  <si>
    <t>Medium Cap Seniors</t>
  </si>
  <si>
    <t>Small Cap Seniors</t>
  </si>
  <si>
    <t>Category</t>
  </si>
  <si>
    <t>Large Cap Senior</t>
  </si>
  <si>
    <t>Mid Cap Senior</t>
  </si>
  <si>
    <t>Small Cap Senior</t>
  </si>
  <si>
    <t>Small Cap Junior</t>
  </si>
  <si>
    <t>Operations</t>
  </si>
  <si>
    <t>Location</t>
  </si>
  <si>
    <t>Malartic</t>
  </si>
  <si>
    <t>Quebec</t>
  </si>
  <si>
    <t>19' Production</t>
  </si>
  <si>
    <t>Weighting</t>
  </si>
  <si>
    <t>Goldex</t>
  </si>
  <si>
    <t>Kittila</t>
  </si>
  <si>
    <t>La India</t>
  </si>
  <si>
    <t>LaRonde Zone 5</t>
  </si>
  <si>
    <t>LaRonde</t>
  </si>
  <si>
    <t>Meadowbank Complex</t>
  </si>
  <si>
    <t>Meliadine</t>
  </si>
  <si>
    <t>Pinos Altos</t>
  </si>
  <si>
    <t>Finald</t>
  </si>
  <si>
    <t>Mexico</t>
  </si>
  <si>
    <t>Nunavut</t>
  </si>
  <si>
    <t>Rating(Fraser)</t>
  </si>
  <si>
    <t>Nevada Gold Mines</t>
  </si>
  <si>
    <t>Nevada</t>
  </si>
  <si>
    <t>Pueblo Viejo</t>
  </si>
  <si>
    <t>Volume</t>
  </si>
  <si>
    <t>Agnico Eagle Mines Ltd (XTSE:AEM)</t>
  </si>
  <si>
    <t>Alamos Gold Inc (XNYS:AGI)</t>
  </si>
  <si>
    <t>AngloGold Ashanti Ltd (XNYS:AU)</t>
  </si>
  <si>
    <t>B2Gold Corp (XTSE:BTO)</t>
  </si>
  <si>
    <t>Barrick Gold Corp (XTSE:ABX)</t>
  </si>
  <si>
    <t>Centamin PLC (XTSE:CEE)</t>
  </si>
  <si>
    <t>Centerra Gold Inc (XTSE:CG)</t>
  </si>
  <si>
    <t>Dundee Precious Metals Inc (XTSE:DPM)</t>
  </si>
  <si>
    <t>Eldorado Gold Corp (XTSE:ELD)</t>
  </si>
  <si>
    <t>Equinox Gold Corp (XTSE:EQX)</t>
  </si>
  <si>
    <t>Franco-Nevada Corp (XTSE:FNV)</t>
  </si>
  <si>
    <t>Harte Gold Corp (XTSE:HRT)</t>
  </si>
  <si>
    <t>Iamgold Corp (XTSE:IMG)</t>
  </si>
  <si>
    <t>K92 Mining Inc (XTSX:KNT)</t>
  </si>
  <si>
    <t>Kinross Gold Corp (XTSE:K)</t>
  </si>
  <si>
    <t>Kirkland Lake Gold Ltd (XTSE:KL)</t>
  </si>
  <si>
    <t>Lundin Gold Inc (XTSE:LUG)</t>
  </si>
  <si>
    <t>McEwen Mining Inc (XTSE:MUX)</t>
  </si>
  <si>
    <t>New Gold Inc (XTSE:NGD)</t>
  </si>
  <si>
    <t>Newmont Corporation (XTSE:NGT)</t>
  </si>
  <si>
    <t>Pretium Resources Inc (XTSE:PVG)</t>
  </si>
  <si>
    <t>Semafo Inc (XTSE:SMF)</t>
  </si>
  <si>
    <t>SSR Mining Inc (XTSE:SSRM)</t>
  </si>
  <si>
    <t>Teranga Gold Corp (XTSE:TGZ)</t>
  </si>
  <si>
    <t>TMAC Resources Inc (XTSE:TMR)</t>
  </si>
  <si>
    <t>Torex Gold Resources Inc (XTSE:TXG)</t>
  </si>
  <si>
    <t>Victoria Gold Corp (XTSE:VGCX)</t>
  </si>
  <si>
    <t>Wesdome Gold Mines Ltd (XTSE:WDO)</t>
  </si>
  <si>
    <t>Yamana Gold Inc (XTSE:YRI)</t>
  </si>
  <si>
    <t>Grand Total</t>
  </si>
  <si>
    <t>Average of Current Ratio</t>
  </si>
  <si>
    <t>Average of Cash Ratio</t>
  </si>
  <si>
    <t>Average of Debt-Equity</t>
  </si>
  <si>
    <t>Average of Debt-Assest</t>
  </si>
  <si>
    <t>Sum of Current Ratio</t>
  </si>
  <si>
    <t>Average</t>
  </si>
  <si>
    <t>Current Ratio Average</t>
  </si>
  <si>
    <t>Cash Ratio Average</t>
  </si>
  <si>
    <t>Debt-Equity Average</t>
  </si>
  <si>
    <t>Debit Asset Average</t>
  </si>
  <si>
    <t>Estimated 2020 OPSCF</t>
  </si>
  <si>
    <t>AISC Average</t>
  </si>
  <si>
    <t>Rev 3Yr Growth</t>
  </si>
  <si>
    <t>Market Cap</t>
  </si>
  <si>
    <t>Hemlo</t>
  </si>
  <si>
    <t>Ontario</t>
  </si>
  <si>
    <t>Dominican</t>
  </si>
  <si>
    <t>Veladero</t>
  </si>
  <si>
    <t>Loulo-Gounkoto</t>
  </si>
  <si>
    <t>Mali</t>
  </si>
  <si>
    <t>Ivory Coast</t>
  </si>
  <si>
    <t>Tongon</t>
  </si>
  <si>
    <t>Kibali</t>
  </si>
  <si>
    <t>North Mara</t>
  </si>
  <si>
    <t>Bulyanhulu</t>
  </si>
  <si>
    <t>Buzwagi</t>
  </si>
  <si>
    <t>Tanazian</t>
  </si>
  <si>
    <t>Congo</t>
  </si>
  <si>
    <t>Porgera</t>
  </si>
  <si>
    <t>Papa New Guinea</t>
  </si>
  <si>
    <t>Newmont</t>
  </si>
  <si>
    <t>CC&amp;V</t>
  </si>
  <si>
    <t>Elenore</t>
  </si>
  <si>
    <t>Penasquito</t>
  </si>
  <si>
    <t>Procupine</t>
  </si>
  <si>
    <t>Musslewhite</t>
  </si>
  <si>
    <t>colorado</t>
  </si>
  <si>
    <t>Cerro Negro</t>
  </si>
  <si>
    <t>Yanacocha</t>
  </si>
  <si>
    <t>Merian</t>
  </si>
  <si>
    <t>Boddington</t>
  </si>
  <si>
    <t>Tanami</t>
  </si>
  <si>
    <t>Argentina,</t>
  </si>
  <si>
    <t>Peru</t>
  </si>
  <si>
    <t>Suriname</t>
  </si>
  <si>
    <t>Australia</t>
  </si>
  <si>
    <t>Ahafo</t>
  </si>
  <si>
    <t>Akyem</t>
  </si>
  <si>
    <t>Ghana</t>
  </si>
  <si>
    <t>Fosterville</t>
  </si>
  <si>
    <t>Mascca</t>
  </si>
  <si>
    <t>Holt</t>
  </si>
  <si>
    <t>Franco Nevada</t>
  </si>
  <si>
    <t>Latin America</t>
  </si>
  <si>
    <t>Rest of the World</t>
  </si>
  <si>
    <t>Canada</t>
  </si>
  <si>
    <t>US</t>
  </si>
  <si>
    <t xml:space="preserve">Yamana Gold Inc </t>
  </si>
  <si>
    <t>Young davidson</t>
  </si>
  <si>
    <t>Island Gold</t>
  </si>
  <si>
    <t>Mulatos</t>
  </si>
  <si>
    <t>AngloGold Ashanti</t>
  </si>
  <si>
    <t>DRC</t>
  </si>
  <si>
    <t>Guinea</t>
  </si>
  <si>
    <t>Tanzania</t>
  </si>
  <si>
    <t>Argentina</t>
  </si>
  <si>
    <t>Brazil</t>
  </si>
  <si>
    <t>south africa</t>
  </si>
  <si>
    <t>total</t>
  </si>
  <si>
    <t>Nicaragua</t>
  </si>
  <si>
    <t>The Philippines</t>
  </si>
  <si>
    <t>Nambia</t>
  </si>
  <si>
    <t> Kyrgyz Republi</t>
  </si>
  <si>
    <t>BC</t>
  </si>
  <si>
    <t>Turkey</t>
  </si>
  <si>
    <t>Detour</t>
  </si>
  <si>
    <t>Kinross</t>
  </si>
  <si>
    <t>Mauritania</t>
  </si>
  <si>
    <t>Russia</t>
  </si>
  <si>
    <t>USA</t>
  </si>
  <si>
    <t>Chile</t>
  </si>
  <si>
    <t>Pretivm</t>
  </si>
  <si>
    <t>Yamana</t>
  </si>
  <si>
    <t>chile</t>
  </si>
  <si>
    <t>brazil</t>
  </si>
  <si>
    <t>argentina</t>
  </si>
  <si>
    <t>ontario</t>
  </si>
  <si>
    <t>egypt</t>
  </si>
  <si>
    <t>Eldorado Gold</t>
  </si>
  <si>
    <t>turkey</t>
  </si>
  <si>
    <t>Greece</t>
  </si>
  <si>
    <t>Iamgold</t>
  </si>
  <si>
    <t>burkina faso</t>
  </si>
  <si>
    <t>Lundin Gold</t>
  </si>
  <si>
    <t>Ecuador</t>
  </si>
  <si>
    <t>ivory coast</t>
  </si>
  <si>
    <t>Torex Gold</t>
  </si>
  <si>
    <t>Bulgaria</t>
  </si>
  <si>
    <t>Equinox Gold</t>
  </si>
  <si>
    <t>Papa New G</t>
  </si>
  <si>
    <t>McEwen Mining</t>
  </si>
  <si>
    <t>mexico</t>
  </si>
  <si>
    <t>New Gold</t>
  </si>
  <si>
    <t>Teranga</t>
  </si>
  <si>
    <t>Senegal</t>
  </si>
  <si>
    <t>Burkina Faso</t>
  </si>
  <si>
    <t>Tmac</t>
  </si>
  <si>
    <t>Nuvaut</t>
  </si>
  <si>
    <t>VIT</t>
  </si>
  <si>
    <t>yukon</t>
  </si>
  <si>
    <t>Wesdome</t>
  </si>
  <si>
    <t>Risk</t>
  </si>
  <si>
    <t>Risk Rating</t>
  </si>
  <si>
    <t>Reserve (Moz)</t>
  </si>
  <si>
    <t>Abbreviations</t>
    <phoneticPr fontId="0" type="noConversion"/>
  </si>
  <si>
    <t>Koz</t>
  </si>
  <si>
    <t>AISC</t>
  </si>
  <si>
    <t>All-in Sustaining Capital</t>
  </si>
  <si>
    <t>Avg</t>
  </si>
  <si>
    <t>2019E</t>
  </si>
  <si>
    <t>2019 Year End</t>
  </si>
  <si>
    <t>Share Outstanding</t>
  </si>
  <si>
    <t>Ounces (thousands)</t>
  </si>
  <si>
    <t>Moz</t>
  </si>
  <si>
    <t>Ounces (millions)</t>
  </si>
  <si>
    <t>Cashflow per share</t>
  </si>
  <si>
    <t>Estimated Cashflow from operations</t>
  </si>
  <si>
    <t>GEO</t>
  </si>
  <si>
    <t>Gold Equivalent Ounces</t>
  </si>
  <si>
    <t>P/E</t>
  </si>
  <si>
    <t>Price/Earning Ratio</t>
  </si>
  <si>
    <t>Rev</t>
  </si>
  <si>
    <t>Revenue</t>
  </si>
  <si>
    <t>ROA</t>
  </si>
  <si>
    <t>Return on Asset</t>
  </si>
  <si>
    <t>ROE</t>
  </si>
  <si>
    <t>Return on Equity</t>
  </si>
  <si>
    <t>TTM</t>
  </si>
  <si>
    <t>Trailing Twelve Months</t>
  </si>
  <si>
    <t>Balance Sheet Table</t>
  </si>
  <si>
    <t>1) Balance Sheet Performance</t>
  </si>
  <si>
    <t>Ratio</t>
  </si>
  <si>
    <t>Industry Avg</t>
  </si>
  <si>
    <t xml:space="preserve">Please select a ratio from the dropdown list: </t>
  </si>
  <si>
    <t>DS</t>
  </si>
  <si>
    <t>Dataset</t>
  </si>
  <si>
    <t>Logic</t>
  </si>
  <si>
    <t>Binary</t>
  </si>
  <si>
    <t>MC</t>
  </si>
  <si>
    <t>Market Capital</t>
  </si>
  <si>
    <t>Combined</t>
  </si>
  <si>
    <t>N/A</t>
  </si>
  <si>
    <t>2) Estimated 2020 Cashflow from Operations</t>
  </si>
  <si>
    <t>Guidance</t>
  </si>
  <si>
    <t xml:space="preserve">AISC </t>
  </si>
  <si>
    <t>Gold Project: Exceutive Summary: Balance Sheet Performance</t>
  </si>
  <si>
    <t>Gold Project: Exceutive Summary: 2020 Estimated Cashflow from Operations</t>
  </si>
  <si>
    <t>P/CFPS</t>
  </si>
  <si>
    <t>3) Profitability</t>
  </si>
  <si>
    <t>Gold Project: Exceutive Summary: Profitability</t>
  </si>
  <si>
    <t>Reserve</t>
  </si>
  <si>
    <t>Click Bar Chart logo to refresh data</t>
  </si>
  <si>
    <t>OPs CF</t>
  </si>
  <si>
    <t>Gold Project (Assume USD)</t>
  </si>
  <si>
    <t>The purpose of this spreadsheet was for an exploratory analysis with no intent for providing stock recommendations. Follow the instruction below to navigate the dashboards highlights in blue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</si>
</sst>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0.00_-;\-&quot;$&quot;* #,##0.00_-;_-&quot;$&quot;* &quot;-&quot;??_-;_-@_-"/>
    <numFmt numFmtId="43" formatCode="_-* #,##0.00_-;\-* #,##0.00_-;_-* &quot;-&quot;??_-;_-@_-"/>
    <numFmt numFmtId="165" formatCode="_([$$-409]* #,##0.00_);_([$$-409]* \(#,##0.00\);_([$$-409]* &quot;-&quot;??_);_(@_)"/>
    <numFmt numFmtId="166" formatCode="_([$$-409]* #,##0_);_([$$-409]* \(#,##0\);_([$$-409]* &quot;-&quot;_);_(@_)"/>
    <numFmt numFmtId="167" formatCode="_-[$$-1009]* #,##0.00_-;\-[$$-1009]* #,##0.00_-;_-[$$-1009]* &quot;-&quot;??_-;_-@_-"/>
    <numFmt numFmtId="168" formatCode="0.0"/>
    <numFmt numFmtId="169" formatCode="_-* #,##0_-;\-* #,##0_-;_-* &quot;-&quot;??_-;_-@_-"/>
    <numFmt numFmtId="170" formatCode="_([$$-409]* #,##0.00_);_([$$-409]* \(#,##0.00\);_([$$-409]* &quot;-&quot;_);_(@_)"/>
    <numFmt numFmtId="171" formatCode="_-&quot;$&quot;* #,##0_-;\-&quot;$&quot;* #,##0_-;_-&quot;$&quot;* &quot;-&quot;??_-;_-@_-"/>
    <numFmt numFmtId="172" formatCode="_-[$$-409]* #,##0.0_ ;_-[$$-409]* \-#,##0.0\ ;_-[$$-409]* &quot;-&quot;?_ ;_-@_ "/>
    <numFmt numFmtId="173" formatCode="_-[$$-409]* #,##0.00_ ;_-[$$-409]* \-#,##0.00\ ;_-[$$-409]* &quot;-&quot;??_ ;_-@_ "/>
    <numFmt numFmtId="174" formatCode="[$-F800]dddd\,\ mmmm\ dd\,\ yyyy"/>
  </numFmts>
  <fonts count="20" x14ac:knownFonts="1">
    <font>
      <sz val="11"/>
      <color theme="1"/>
      <name val="Calibri"/>
      <family val="2"/>
      <scheme val="minor"/>
    </font>
    <font>
      <sz val="11"/>
      <color theme="1"/>
      <name val="Calibri"/>
      <family val="2"/>
      <scheme val="minor"/>
    </font>
    <font>
      <sz val="11"/>
      <color rgb="FF9C0006"/>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sz val="8"/>
      <name val="Calibri"/>
      <family val="2"/>
      <scheme val="minor"/>
    </font>
    <font>
      <sz val="11"/>
      <color rgb="FF00B050"/>
      <name val="Calibri"/>
      <family val="2"/>
      <scheme val="minor"/>
    </font>
    <font>
      <sz val="11"/>
      <color theme="5" tint="-0.249977111117893"/>
      <name val="Calibri"/>
      <family val="2"/>
      <scheme val="minor"/>
    </font>
    <font>
      <sz val="11"/>
      <color rgb="FF3C4043"/>
      <name val="Arial"/>
      <family val="2"/>
    </font>
    <font>
      <sz val="11"/>
      <color rgb="FF000000"/>
      <name val="Calibri"/>
      <family val="2"/>
    </font>
    <font>
      <sz val="12"/>
      <color indexed="9"/>
      <name val="Arial"/>
      <family val="2"/>
    </font>
    <font>
      <sz val="10"/>
      <name val="Arial"/>
      <family val="2"/>
    </font>
    <font>
      <sz val="11"/>
      <color indexed="8"/>
      <name val="Calibri"/>
      <family val="2"/>
    </font>
    <font>
      <sz val="10"/>
      <color rgb="FF0000FF"/>
      <name val="Arial"/>
      <family val="2"/>
    </font>
    <font>
      <sz val="10"/>
      <color indexed="8"/>
      <name val="Arial"/>
      <family val="2"/>
    </font>
    <font>
      <sz val="8"/>
      <color theme="1"/>
      <name val="Calibri"/>
      <family val="2"/>
      <scheme val="minor"/>
    </font>
    <font>
      <b/>
      <sz val="8"/>
      <color theme="1"/>
      <name val="Calibri"/>
      <family val="2"/>
      <scheme val="minor"/>
    </font>
    <font>
      <b/>
      <sz val="8"/>
      <name val="Calibri"/>
      <family val="2"/>
      <scheme val="minor"/>
    </font>
  </fonts>
  <fills count="10">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FFC000"/>
        <bgColor indexed="64"/>
      </patternFill>
    </fill>
    <fill>
      <patternFill patternType="solid">
        <fgColor theme="7"/>
        <bgColor theme="7"/>
      </patternFill>
    </fill>
    <fill>
      <patternFill patternType="solid">
        <fgColor theme="0" tint="-0.14999847407452621"/>
        <bgColor theme="0" tint="-0.14999847407452621"/>
      </patternFill>
    </fill>
    <fill>
      <patternFill patternType="solid">
        <fgColor theme="4" tint="0.79998168889431442"/>
        <bgColor theme="4" tint="0.79998168889431442"/>
      </patternFill>
    </fill>
    <fill>
      <patternFill patternType="solid">
        <fgColor indexed="57"/>
        <bgColor indexed="64"/>
      </patternFill>
    </fill>
    <fill>
      <patternFill patternType="solid">
        <fgColor rgb="FFF2F2F2"/>
        <bgColor indexed="64"/>
      </patternFill>
    </fill>
  </fills>
  <borders count="22">
    <border>
      <left/>
      <right/>
      <top/>
      <bottom/>
      <diagonal/>
    </border>
    <border>
      <left/>
      <right/>
      <top style="medium">
        <color theme="1"/>
      </top>
      <bottom style="medium">
        <color theme="1"/>
      </bottom>
      <diagonal/>
    </border>
    <border>
      <left/>
      <right/>
      <top/>
      <bottom style="medium">
        <color theme="1"/>
      </bottom>
      <diagonal/>
    </border>
    <border>
      <left/>
      <right/>
      <top/>
      <bottom style="medium">
        <color indexed="64"/>
      </bottom>
      <diagonal/>
    </border>
    <border>
      <left style="thin">
        <color indexed="64"/>
      </left>
      <right/>
      <top style="medium">
        <color indexed="64"/>
      </top>
      <bottom/>
      <diagonal/>
    </border>
    <border>
      <left/>
      <right/>
      <top style="medium">
        <color indexed="64"/>
      </top>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bottom style="thin">
        <color indexed="64"/>
      </bottom>
      <diagonal/>
    </border>
    <border>
      <left style="thin">
        <color indexed="64"/>
      </left>
      <right/>
      <top style="thin">
        <color auto="1"/>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14" fillId="0" borderId="0"/>
  </cellStyleXfs>
  <cellXfs count="166">
    <xf numFmtId="0" fontId="0" fillId="0" borderId="0" xfId="0"/>
    <xf numFmtId="0" fontId="0" fillId="3" borderId="0" xfId="0" applyFill="1"/>
    <xf numFmtId="0" fontId="4" fillId="3" borderId="0" xfId="0" applyFont="1" applyFill="1"/>
    <xf numFmtId="167" fontId="0" fillId="3" borderId="0" xfId="0" applyNumberFormat="1" applyFill="1"/>
    <xf numFmtId="165" fontId="0" fillId="3" borderId="0" xfId="0" applyNumberFormat="1" applyFill="1"/>
    <xf numFmtId="166" fontId="0" fillId="3" borderId="0" xfId="0" applyNumberFormat="1" applyFill="1"/>
    <xf numFmtId="0" fontId="0" fillId="3" borderId="0" xfId="0" applyFill="1" applyAlignment="1">
      <alignment horizontal="center"/>
    </xf>
    <xf numFmtId="0" fontId="5" fillId="3" borderId="0" xfId="0" applyFont="1" applyFill="1"/>
    <xf numFmtId="0" fontId="6" fillId="3" borderId="0" xfId="0" applyFont="1" applyFill="1"/>
    <xf numFmtId="2" fontId="0" fillId="3" borderId="0" xfId="0" applyNumberFormat="1" applyFill="1"/>
    <xf numFmtId="168" fontId="0" fillId="3" borderId="0" xfId="0" applyNumberFormat="1" applyFill="1"/>
    <xf numFmtId="9" fontId="0" fillId="3" borderId="0" xfId="3" applyFont="1" applyFill="1"/>
    <xf numFmtId="10" fontId="0" fillId="3" borderId="0" xfId="0" applyNumberFormat="1" applyFill="1"/>
    <xf numFmtId="3" fontId="0" fillId="3" borderId="0" xfId="0" applyNumberFormat="1" applyFill="1"/>
    <xf numFmtId="43" fontId="0" fillId="3" borderId="0" xfId="1" applyFont="1" applyFill="1"/>
    <xf numFmtId="169" fontId="0" fillId="3" borderId="0" xfId="1" applyNumberFormat="1" applyFont="1" applyFill="1"/>
    <xf numFmtId="170" fontId="0" fillId="3" borderId="0" xfId="0" applyNumberFormat="1" applyFill="1"/>
    <xf numFmtId="10" fontId="0" fillId="3" borderId="0" xfId="3" applyNumberFormat="1" applyFont="1" applyFill="1"/>
    <xf numFmtId="0" fontId="4" fillId="4" borderId="0" xfId="0" applyFont="1" applyFill="1"/>
    <xf numFmtId="0" fontId="0" fillId="3" borderId="3" xfId="0" applyFill="1" applyBorder="1"/>
    <xf numFmtId="43" fontId="0" fillId="3" borderId="0" xfId="0" applyNumberFormat="1" applyFill="1"/>
    <xf numFmtId="44" fontId="0" fillId="3" borderId="0" xfId="2" applyFont="1" applyFill="1"/>
    <xf numFmtId="44" fontId="0" fillId="3" borderId="0" xfId="2" applyNumberFormat="1" applyFont="1" applyFill="1"/>
    <xf numFmtId="169" fontId="2" fillId="2" borderId="0" xfId="4" applyNumberFormat="1"/>
    <xf numFmtId="171" fontId="0" fillId="3" borderId="0" xfId="2" applyNumberFormat="1" applyFont="1" applyFill="1"/>
    <xf numFmtId="0" fontId="0" fillId="3" borderId="4" xfId="0" applyFill="1" applyBorder="1"/>
    <xf numFmtId="44" fontId="0" fillId="0" borderId="0" xfId="2" applyFont="1"/>
    <xf numFmtId="44" fontId="0" fillId="3" borderId="0" xfId="0" applyNumberFormat="1" applyFill="1"/>
    <xf numFmtId="0" fontId="8" fillId="3" borderId="0" xfId="0" applyFont="1" applyFill="1"/>
    <xf numFmtId="0" fontId="6" fillId="3" borderId="1" xfId="0" applyFont="1" applyFill="1" applyBorder="1"/>
    <xf numFmtId="0" fontId="0" fillId="3" borderId="2" xfId="0" applyFont="1" applyFill="1" applyBorder="1"/>
    <xf numFmtId="165" fontId="0" fillId="3" borderId="3" xfId="0" applyNumberFormat="1" applyFill="1" applyBorder="1"/>
    <xf numFmtId="10" fontId="0" fillId="3" borderId="3" xfId="0" applyNumberFormat="1" applyFill="1" applyBorder="1"/>
    <xf numFmtId="173" fontId="0" fillId="3" borderId="0" xfId="0" applyNumberFormat="1" applyFill="1"/>
    <xf numFmtId="169" fontId="0" fillId="0" borderId="0" xfId="1" applyNumberFormat="1" applyFont="1"/>
    <xf numFmtId="1" fontId="0" fillId="0" borderId="0" xfId="0" applyNumberFormat="1"/>
    <xf numFmtId="0" fontId="3" fillId="3" borderId="0" xfId="0" applyFont="1" applyFill="1"/>
    <xf numFmtId="0" fontId="9" fillId="3" borderId="0" xfId="0" applyFont="1" applyFill="1"/>
    <xf numFmtId="172" fontId="0" fillId="3" borderId="0" xfId="0" applyNumberFormat="1" applyFill="1"/>
    <xf numFmtId="2" fontId="5" fillId="3" borderId="0" xfId="0" applyNumberFormat="1" applyFont="1" applyFill="1"/>
    <xf numFmtId="1" fontId="0" fillId="3" borderId="0" xfId="0" applyNumberFormat="1" applyFill="1"/>
    <xf numFmtId="168" fontId="0" fillId="3" borderId="0" xfId="1" applyNumberFormat="1" applyFont="1" applyFill="1"/>
    <xf numFmtId="168" fontId="0" fillId="3" borderId="0" xfId="1" applyNumberFormat="1" applyFont="1" applyFill="1" applyAlignment="1">
      <alignment horizontal="right"/>
    </xf>
    <xf numFmtId="0" fontId="0" fillId="3" borderId="0" xfId="0" applyNumberFormat="1" applyFill="1"/>
    <xf numFmtId="167" fontId="4" fillId="3" borderId="0" xfId="0" applyNumberFormat="1" applyFont="1" applyFill="1"/>
    <xf numFmtId="9" fontId="0" fillId="0" borderId="0" xfId="0" applyNumberFormat="1"/>
    <xf numFmtId="2" fontId="0" fillId="0" borderId="0" xfId="0" applyNumberFormat="1"/>
    <xf numFmtId="9" fontId="0" fillId="3" borderId="0" xfId="0" applyNumberFormat="1" applyFill="1"/>
    <xf numFmtId="1" fontId="0" fillId="3" borderId="0" xfId="2" applyNumberFormat="1" applyFont="1" applyFill="1"/>
    <xf numFmtId="0" fontId="6" fillId="0" borderId="0" xfId="0" applyFont="1"/>
    <xf numFmtId="43" fontId="0" fillId="0" borderId="0" xfId="1" applyFont="1"/>
    <xf numFmtId="167" fontId="0" fillId="0" borderId="0" xfId="0" applyNumberFormat="1"/>
    <xf numFmtId="3" fontId="0" fillId="0" borderId="0" xfId="0" applyNumberFormat="1"/>
    <xf numFmtId="9" fontId="0" fillId="0" borderId="0" xfId="3" applyFont="1"/>
    <xf numFmtId="43" fontId="0" fillId="0" borderId="0" xfId="1" applyNumberFormat="1" applyFont="1"/>
    <xf numFmtId="0" fontId="0" fillId="0" borderId="0" xfId="0" pivotButton="1"/>
    <xf numFmtId="0" fontId="6" fillId="5" borderId="2" xfId="0" applyFont="1" applyFill="1" applyBorder="1"/>
    <xf numFmtId="10" fontId="0" fillId="0" borderId="0" xfId="3" applyNumberFormat="1" applyFont="1"/>
    <xf numFmtId="0" fontId="0" fillId="6" borderId="0" xfId="0" applyFont="1" applyFill="1"/>
    <xf numFmtId="0" fontId="0" fillId="0" borderId="0" xfId="0" applyNumberFormat="1"/>
    <xf numFmtId="0" fontId="0" fillId="0" borderId="0" xfId="0" applyNumberFormat="1" applyFont="1" applyFill="1" applyBorder="1" applyAlignment="1" applyProtection="1"/>
    <xf numFmtId="2" fontId="0" fillId="0" borderId="0" xfId="0" applyNumberFormat="1" applyFont="1" applyFill="1" applyBorder="1" applyAlignment="1" applyProtection="1"/>
    <xf numFmtId="0" fontId="0" fillId="0" borderId="0" xfId="0" applyFont="1" applyFill="1" applyBorder="1" applyAlignment="1" applyProtection="1"/>
    <xf numFmtId="169" fontId="0" fillId="7" borderId="9" xfId="1" applyNumberFormat="1" applyFont="1" applyFill="1" applyBorder="1"/>
    <xf numFmtId="169" fontId="0" fillId="0" borderId="9" xfId="1" applyNumberFormat="1" applyFont="1" applyBorder="1"/>
    <xf numFmtId="0" fontId="6" fillId="3" borderId="6" xfId="0" applyFont="1" applyFill="1" applyBorder="1"/>
    <xf numFmtId="0" fontId="6" fillId="3" borderId="2" xfId="0" applyFont="1" applyFill="1" applyBorder="1"/>
    <xf numFmtId="169" fontId="0" fillId="0" borderId="7" xfId="1" applyNumberFormat="1" applyFont="1" applyBorder="1"/>
    <xf numFmtId="169" fontId="0" fillId="7" borderId="7" xfId="1" applyNumberFormat="1" applyFont="1" applyFill="1" applyBorder="1"/>
    <xf numFmtId="43" fontId="0" fillId="7" borderId="9" xfId="1" applyNumberFormat="1" applyFont="1" applyFill="1" applyBorder="1"/>
    <xf numFmtId="43" fontId="0" fillId="7" borderId="7" xfId="1" applyNumberFormat="1" applyFont="1" applyFill="1" applyBorder="1"/>
    <xf numFmtId="0" fontId="6" fillId="3" borderId="9" xfId="0" applyFont="1" applyFill="1" applyBorder="1"/>
    <xf numFmtId="0" fontId="6" fillId="3" borderId="0" xfId="0" applyFont="1" applyFill="1" applyBorder="1"/>
    <xf numFmtId="9" fontId="0" fillId="7" borderId="9" xfId="3" applyFont="1" applyFill="1" applyBorder="1"/>
    <xf numFmtId="9" fontId="0" fillId="7" borderId="7" xfId="3" applyFont="1" applyFill="1" applyBorder="1"/>
    <xf numFmtId="0" fontId="10" fillId="0" borderId="0" xfId="0" applyFont="1"/>
    <xf numFmtId="0" fontId="0" fillId="3" borderId="0" xfId="0" applyFont="1" applyFill="1"/>
    <xf numFmtId="0" fontId="6" fillId="3" borderId="10" xfId="0" applyFont="1" applyFill="1" applyBorder="1"/>
    <xf numFmtId="0" fontId="6" fillId="3" borderId="11" xfId="0" applyFont="1" applyFill="1" applyBorder="1"/>
    <xf numFmtId="169" fontId="0" fillId="7" borderId="6" xfId="1" applyNumberFormat="1" applyFont="1" applyFill="1" applyBorder="1"/>
    <xf numFmtId="169" fontId="0" fillId="3" borderId="0" xfId="0" applyNumberFormat="1" applyFill="1"/>
    <xf numFmtId="0" fontId="0" fillId="3" borderId="0" xfId="0" applyNumberFormat="1" applyFont="1" applyFill="1" applyBorder="1"/>
    <xf numFmtId="0" fontId="0" fillId="6" borderId="0" xfId="0" applyNumberFormat="1" applyFont="1" applyFill="1" applyBorder="1"/>
    <xf numFmtId="43" fontId="11" fillId="0" borderId="0" xfId="1" applyNumberFormat="1" applyFont="1"/>
    <xf numFmtId="0" fontId="0" fillId="3" borderId="12" xfId="0" applyFill="1" applyBorder="1"/>
    <xf numFmtId="0" fontId="13" fillId="3" borderId="16" xfId="0" applyFont="1" applyFill="1" applyBorder="1"/>
    <xf numFmtId="0" fontId="13" fillId="3" borderId="0" xfId="0" applyFont="1" applyFill="1"/>
    <xf numFmtId="0" fontId="13" fillId="3" borderId="17" xfId="0" applyFont="1" applyFill="1" applyBorder="1"/>
    <xf numFmtId="0" fontId="16" fillId="3" borderId="16" xfId="0" applyFont="1" applyFill="1" applyBorder="1"/>
    <xf numFmtId="39" fontId="15" fillId="9" borderId="0" xfId="5" applyNumberFormat="1" applyFont="1" applyFill="1" applyAlignment="1" applyProtection="1">
      <alignment horizontal="right" vertical="center"/>
      <protection locked="0"/>
    </xf>
    <xf numFmtId="37" fontId="15" fillId="9" borderId="0" xfId="5" applyNumberFormat="1" applyFont="1" applyFill="1" applyAlignment="1" applyProtection="1">
      <alignment horizontal="right" vertical="center"/>
      <protection locked="0"/>
    </xf>
    <xf numFmtId="0" fontId="0" fillId="3" borderId="0" xfId="0" applyFill="1" applyAlignment="1"/>
    <xf numFmtId="0" fontId="0" fillId="3" borderId="12" xfId="0" applyFill="1" applyBorder="1" applyAlignment="1"/>
    <xf numFmtId="0" fontId="4" fillId="3" borderId="0" xfId="0" applyFont="1" applyFill="1" applyBorder="1" applyAlignment="1">
      <alignment horizontal="center" vertical="center"/>
    </xf>
    <xf numFmtId="0" fontId="0" fillId="3" borderId="0" xfId="0" applyFill="1" applyBorder="1" applyAlignment="1"/>
    <xf numFmtId="0" fontId="0" fillId="3" borderId="17" xfId="0" applyFill="1" applyBorder="1" applyAlignment="1"/>
    <xf numFmtId="0" fontId="4" fillId="3" borderId="0" xfId="0" applyFont="1" applyFill="1" applyBorder="1" applyAlignment="1">
      <alignment horizontal="left" vertical="center"/>
    </xf>
    <xf numFmtId="0" fontId="4" fillId="3" borderId="12" xfId="0" applyFont="1" applyFill="1" applyBorder="1" applyAlignment="1">
      <alignment horizontal="center" vertical="center"/>
    </xf>
    <xf numFmtId="43" fontId="0" fillId="3" borderId="0" xfId="0" applyNumberFormat="1" applyFill="1" applyAlignment="1">
      <alignment horizontal="left"/>
    </xf>
    <xf numFmtId="167" fontId="5" fillId="3" borderId="0" xfId="0" applyNumberFormat="1" applyFont="1" applyFill="1"/>
    <xf numFmtId="167" fontId="5" fillId="3" borderId="9" xfId="0" applyNumberFormat="1" applyFont="1" applyFill="1" applyBorder="1"/>
    <xf numFmtId="0" fontId="6" fillId="3" borderId="8" xfId="0" applyFont="1" applyFill="1" applyBorder="1"/>
    <xf numFmtId="0" fontId="18" fillId="3" borderId="0" xfId="0" applyFont="1" applyFill="1" applyBorder="1" applyAlignment="1">
      <alignment horizontal="left" vertical="center"/>
    </xf>
    <xf numFmtId="0" fontId="18" fillId="3" borderId="0" xfId="0" applyFont="1" applyFill="1" applyBorder="1" applyAlignment="1">
      <alignment vertical="center"/>
    </xf>
    <xf numFmtId="0" fontId="18" fillId="3" borderId="12" xfId="0" applyFont="1" applyFill="1" applyBorder="1" applyAlignment="1">
      <alignment horizontal="center" vertical="center"/>
    </xf>
    <xf numFmtId="0" fontId="17" fillId="3" borderId="0" xfId="0" applyFont="1" applyFill="1" applyAlignment="1"/>
    <xf numFmtId="0" fontId="17" fillId="3" borderId="0" xfId="0" applyFont="1" applyFill="1" applyBorder="1" applyAlignment="1">
      <alignment horizontal="left" vertical="center"/>
    </xf>
    <xf numFmtId="2" fontId="17" fillId="3" borderId="0" xfId="0" applyNumberFormat="1" applyFont="1" applyFill="1" applyBorder="1" applyAlignment="1">
      <alignment horizontal="center" vertical="center"/>
    </xf>
    <xf numFmtId="0" fontId="18" fillId="3" borderId="0" xfId="0" applyFont="1" applyFill="1" applyBorder="1" applyAlignment="1">
      <alignment horizontal="center" vertical="center"/>
    </xf>
    <xf numFmtId="0" fontId="18" fillId="3" borderId="0" xfId="0" applyFont="1" applyFill="1" applyAlignment="1">
      <alignment vertical="center"/>
    </xf>
    <xf numFmtId="0" fontId="17" fillId="3" borderId="16" xfId="0" applyFont="1" applyFill="1" applyBorder="1" applyAlignment="1"/>
    <xf numFmtId="0" fontId="17" fillId="3" borderId="12" xfId="0" applyFont="1" applyFill="1" applyBorder="1" applyAlignment="1"/>
    <xf numFmtId="0" fontId="17" fillId="3" borderId="0" xfId="0" applyFont="1" applyFill="1" applyAlignment="1">
      <alignment horizontal="left"/>
    </xf>
    <xf numFmtId="169" fontId="18" fillId="3" borderId="0" xfId="1" applyNumberFormat="1" applyFont="1" applyFill="1" applyBorder="1" applyAlignment="1">
      <alignment horizontal="left" vertical="center"/>
    </xf>
    <xf numFmtId="169" fontId="18" fillId="3" borderId="0" xfId="1" applyNumberFormat="1" applyFont="1" applyFill="1" applyBorder="1" applyAlignment="1">
      <alignment vertical="center"/>
    </xf>
    <xf numFmtId="0" fontId="18" fillId="3" borderId="14" xfId="0" applyFont="1" applyFill="1" applyBorder="1" applyAlignment="1"/>
    <xf numFmtId="0" fontId="19" fillId="3" borderId="12" xfId="0" applyFont="1" applyFill="1" applyBorder="1" applyAlignment="1">
      <alignment vertical="center"/>
    </xf>
    <xf numFmtId="0" fontId="19" fillId="3" borderId="12" xfId="0" applyFont="1" applyFill="1" applyBorder="1" applyAlignment="1">
      <alignment horizontal="left" vertical="center"/>
    </xf>
    <xf numFmtId="0" fontId="18" fillId="3" borderId="13" xfId="0" applyFont="1" applyFill="1" applyBorder="1" applyAlignment="1">
      <alignment vertical="center"/>
    </xf>
    <xf numFmtId="0" fontId="17" fillId="3" borderId="14" xfId="0" applyFont="1" applyFill="1" applyBorder="1" applyAlignment="1"/>
    <xf numFmtId="0" fontId="17" fillId="3" borderId="15" xfId="0" applyFont="1" applyFill="1" applyBorder="1" applyAlignment="1"/>
    <xf numFmtId="0" fontId="17" fillId="3" borderId="16" xfId="0" applyFont="1" applyFill="1" applyBorder="1" applyAlignment="1">
      <alignment vertical="center" wrapText="1"/>
    </xf>
    <xf numFmtId="0" fontId="17" fillId="3" borderId="0" xfId="0" applyFont="1" applyFill="1" applyBorder="1" applyAlignment="1"/>
    <xf numFmtId="0" fontId="17" fillId="3" borderId="17" xfId="0" applyFont="1" applyFill="1" applyBorder="1" applyAlignment="1"/>
    <xf numFmtId="0" fontId="18" fillId="3" borderId="18" xfId="0" applyFont="1" applyFill="1" applyBorder="1" applyAlignment="1">
      <alignment vertical="center"/>
    </xf>
    <xf numFmtId="0" fontId="18" fillId="3" borderId="16" xfId="0" applyFont="1" applyFill="1" applyBorder="1" applyAlignment="1"/>
    <xf numFmtId="0" fontId="18" fillId="3" borderId="16" xfId="0" applyFont="1" applyFill="1" applyBorder="1" applyAlignment="1">
      <alignment vertical="center"/>
    </xf>
    <xf numFmtId="0" fontId="4" fillId="3" borderId="17" xfId="0" applyFont="1" applyFill="1" applyBorder="1" applyAlignment="1">
      <alignment horizontal="center" vertical="center"/>
    </xf>
    <xf numFmtId="0" fontId="4" fillId="3" borderId="19" xfId="0" applyFont="1" applyFill="1" applyBorder="1" applyAlignment="1">
      <alignment horizontal="center" vertical="center"/>
    </xf>
    <xf numFmtId="0" fontId="18" fillId="3" borderId="0" xfId="0" applyFont="1" applyFill="1" applyBorder="1" applyAlignment="1"/>
    <xf numFmtId="0" fontId="18" fillId="3" borderId="14" xfId="0" applyFont="1" applyFill="1" applyBorder="1" applyAlignment="1">
      <alignment horizontal="left" vertical="center"/>
    </xf>
    <xf numFmtId="0" fontId="18" fillId="3" borderId="14" xfId="0" applyFont="1" applyFill="1" applyBorder="1" applyAlignment="1">
      <alignment horizontal="center" vertical="center"/>
    </xf>
    <xf numFmtId="0" fontId="18" fillId="3" borderId="13" xfId="0" applyFont="1" applyFill="1" applyBorder="1" applyAlignment="1"/>
    <xf numFmtId="0" fontId="18" fillId="3" borderId="15" xfId="0" applyFont="1" applyFill="1" applyBorder="1" applyAlignment="1">
      <alignment horizontal="left" vertical="center"/>
    </xf>
    <xf numFmtId="0" fontId="18" fillId="3" borderId="17" xfId="0" applyFont="1" applyFill="1" applyBorder="1" applyAlignment="1">
      <alignment horizontal="left" vertical="center"/>
    </xf>
    <xf numFmtId="0" fontId="19" fillId="3" borderId="18" xfId="0" applyFont="1" applyFill="1" applyBorder="1" applyAlignment="1">
      <alignment vertical="center"/>
    </xf>
    <xf numFmtId="0" fontId="19" fillId="3" borderId="19" xfId="0" applyFont="1" applyFill="1" applyBorder="1" applyAlignment="1">
      <alignment horizontal="left" vertical="center"/>
    </xf>
    <xf numFmtId="0" fontId="18" fillId="3" borderId="16" xfId="0" applyFont="1" applyFill="1" applyBorder="1" applyAlignment="1">
      <alignment horizontal="left" vertical="center"/>
    </xf>
    <xf numFmtId="171" fontId="18" fillId="3" borderId="17" xfId="2" applyNumberFormat="1" applyFont="1" applyFill="1" applyBorder="1" applyAlignment="1">
      <alignment horizontal="left" vertical="center"/>
    </xf>
    <xf numFmtId="0" fontId="18" fillId="3" borderId="16" xfId="0" applyFont="1" applyFill="1" applyBorder="1" applyAlignment="1">
      <alignment horizontal="left"/>
    </xf>
    <xf numFmtId="0" fontId="18" fillId="3" borderId="18" xfId="0" applyFont="1" applyFill="1" applyBorder="1" applyAlignment="1">
      <alignment horizontal="left" vertical="center"/>
    </xf>
    <xf numFmtId="169" fontId="18" fillId="3" borderId="12" xfId="1" applyNumberFormat="1" applyFont="1" applyFill="1" applyBorder="1" applyAlignment="1">
      <alignment horizontal="left" vertical="center"/>
    </xf>
    <xf numFmtId="171" fontId="18" fillId="3" borderId="19" xfId="2" applyNumberFormat="1" applyFont="1" applyFill="1" applyBorder="1" applyAlignment="1">
      <alignment horizontal="left" vertical="center"/>
    </xf>
    <xf numFmtId="169" fontId="18" fillId="3" borderId="12" xfId="1" applyNumberFormat="1" applyFont="1" applyFill="1" applyBorder="1" applyAlignment="1">
      <alignment vertical="center"/>
    </xf>
    <xf numFmtId="1" fontId="18" fillId="3" borderId="17" xfId="2" applyNumberFormat="1" applyFont="1" applyFill="1" applyBorder="1" applyAlignment="1">
      <alignment vertical="center"/>
    </xf>
    <xf numFmtId="1" fontId="18" fillId="3" borderId="19" xfId="2" applyNumberFormat="1" applyFont="1" applyFill="1" applyBorder="1" applyAlignment="1">
      <alignment vertical="center"/>
    </xf>
    <xf numFmtId="1" fontId="18" fillId="3" borderId="0" xfId="0" applyNumberFormat="1" applyFont="1" applyFill="1" applyBorder="1" applyAlignment="1">
      <alignment vertical="center"/>
    </xf>
    <xf numFmtId="1" fontId="18" fillId="3" borderId="12" xfId="0" applyNumberFormat="1" applyFont="1" applyFill="1" applyBorder="1" applyAlignment="1">
      <alignment vertical="center"/>
    </xf>
    <xf numFmtId="0" fontId="4" fillId="3" borderId="12" xfId="0" applyFont="1" applyFill="1" applyBorder="1" applyAlignment="1">
      <alignment vertical="center" wrapText="1"/>
    </xf>
    <xf numFmtId="174" fontId="0" fillId="3" borderId="12" xfId="0" applyNumberFormat="1" applyFill="1" applyBorder="1" applyAlignment="1">
      <alignment horizontal="center"/>
    </xf>
    <xf numFmtId="0" fontId="4" fillId="3" borderId="0" xfId="0" applyFont="1" applyFill="1" applyBorder="1" applyAlignment="1">
      <alignment horizontal="center" vertical="center"/>
    </xf>
    <xf numFmtId="0" fontId="4" fillId="3" borderId="12" xfId="0" applyFont="1" applyFill="1" applyBorder="1" applyAlignment="1">
      <alignment horizontal="center" vertical="center"/>
    </xf>
    <xf numFmtId="0" fontId="0" fillId="3" borderId="0" xfId="0" applyFill="1" applyAlignment="1">
      <alignment horizontal="center"/>
    </xf>
    <xf numFmtId="0" fontId="5" fillId="3" borderId="0" xfId="0" applyFont="1" applyFill="1" applyAlignment="1">
      <alignment horizontal="center"/>
    </xf>
    <xf numFmtId="0" fontId="4" fillId="3" borderId="4" xfId="0" applyFont="1" applyFill="1" applyBorder="1" applyAlignment="1">
      <alignment horizontal="center"/>
    </xf>
    <xf numFmtId="0" fontId="4" fillId="3" borderId="5" xfId="0" applyFont="1" applyFill="1" applyBorder="1" applyAlignment="1">
      <alignment horizontal="center"/>
    </xf>
    <xf numFmtId="0" fontId="0" fillId="3" borderId="0" xfId="0" applyFill="1" applyBorder="1"/>
    <xf numFmtId="174" fontId="0" fillId="3" borderId="0" xfId="0" applyNumberFormat="1" applyFill="1" applyBorder="1" applyAlignment="1">
      <alignment horizontal="center"/>
    </xf>
    <xf numFmtId="0" fontId="12" fillId="8" borderId="13" xfId="0" applyFont="1" applyFill="1" applyBorder="1" applyAlignment="1">
      <alignment vertical="center"/>
    </xf>
    <xf numFmtId="0" fontId="12" fillId="8" borderId="15" xfId="0" applyFont="1" applyFill="1" applyBorder="1"/>
    <xf numFmtId="0" fontId="13" fillId="3" borderId="18" xfId="0" applyFont="1" applyFill="1" applyBorder="1"/>
    <xf numFmtId="0" fontId="13" fillId="3" borderId="19" xfId="0" applyFont="1" applyFill="1" applyBorder="1"/>
    <xf numFmtId="0" fontId="4" fillId="3" borderId="20" xfId="0" applyFont="1" applyFill="1" applyBorder="1" applyAlignment="1">
      <alignment horizontal="left" vertical="center" wrapText="1"/>
    </xf>
    <xf numFmtId="0" fontId="4" fillId="3" borderId="21" xfId="0" applyFont="1" applyFill="1" applyBorder="1" applyAlignment="1">
      <alignment horizontal="left" vertical="center" wrapText="1"/>
    </xf>
    <xf numFmtId="0" fontId="4" fillId="3" borderId="13" xfId="0" applyFont="1" applyFill="1" applyBorder="1" applyAlignment="1">
      <alignment horizontal="center" vertical="center"/>
    </xf>
    <xf numFmtId="0" fontId="4" fillId="3" borderId="14" xfId="0" applyFont="1" applyFill="1" applyBorder="1" applyAlignment="1">
      <alignment horizontal="center" vertical="center"/>
    </xf>
  </cellXfs>
  <cellStyles count="6">
    <cellStyle name="Bad" xfId="4" builtinId="27"/>
    <cellStyle name="Comma" xfId="1" builtinId="3"/>
    <cellStyle name="Currency" xfId="2" builtinId="4"/>
    <cellStyle name="Normal" xfId="0" builtinId="0"/>
    <cellStyle name="Normal 2" xfId="5" xr:uid="{FD8EDE95-779B-46DC-B7F9-E84A2A97B68E}"/>
    <cellStyle name="Percent" xfId="3" builtinId="5"/>
  </cellStyles>
  <dxfs count="613">
    <dxf>
      <numFmt numFmtId="169" formatCode="_-* #,##0_-;\-* #,##0_-;_-* &quot;-&quot;??_-;_-@_-"/>
      <fill>
        <patternFill patternType="solid">
          <fgColor indexed="64"/>
          <bgColor theme="0"/>
        </patternFill>
      </fill>
    </dxf>
    <dxf>
      <numFmt numFmtId="169" formatCode="_-* #,##0_-;\-* #,##0_-;_-* &quot;-&quot;??_-;_-@_-"/>
      <fill>
        <patternFill patternType="solid">
          <fgColor indexed="64"/>
          <bgColor theme="0"/>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border diagonalUp="0" diagonalDown="0" outline="0">
        <left/>
        <right/>
        <top/>
        <bottom/>
      </border>
    </dxf>
    <dxf>
      <fill>
        <patternFill>
          <bgColor rgb="FFFFC7CE"/>
        </patternFill>
      </fill>
    </dxf>
    <dxf>
      <fill>
        <patternFill>
          <bgColor rgb="FFFFC7CE"/>
        </patternFill>
      </fill>
    </dxf>
    <dxf>
      <numFmt numFmtId="2" formatCode="0.00"/>
      <fill>
        <patternFill patternType="solid">
          <fgColor indexed="64"/>
          <bgColor theme="0"/>
        </patternFill>
      </fill>
    </dxf>
    <dxf>
      <fill>
        <patternFill patternType="solid">
          <fgColor indexed="64"/>
          <bgColor theme="0"/>
        </patternFill>
      </fil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auto="1"/>
        <name val="Calibri"/>
        <family val="2"/>
        <scheme val="minor"/>
      </font>
      <fill>
        <patternFill patternType="solid">
          <fgColor indexed="64"/>
          <bgColor theme="0"/>
        </patternFill>
      </fill>
    </dxf>
    <dxf>
      <numFmt numFmtId="2" formatCode="0.00"/>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auto="1"/>
        <name val="Calibri"/>
        <family val="2"/>
        <scheme val="minor"/>
      </font>
      <fill>
        <patternFill patternType="solid">
          <fgColor indexed="64"/>
          <bgColor theme="0"/>
        </patternFill>
      </fill>
    </dxf>
    <dxf>
      <numFmt numFmtId="14" formatCode="0.00%"/>
      <fill>
        <patternFill patternType="solid">
          <fgColor indexed="64"/>
          <bgColor theme="0"/>
        </patternFill>
      </fill>
    </dxf>
    <dxf>
      <numFmt numFmtId="165" formatCode="_([$$-409]* #,##0.00_);_([$$-409]* \(#,##0.00\);_([$$-409]* &quot;-&quot;??_);_(@_)"/>
      <fill>
        <patternFill patternType="solid">
          <fgColor indexed="64"/>
          <bgColor theme="0"/>
        </patternFill>
      </fill>
    </dxf>
    <dxf>
      <numFmt numFmtId="165" formatCode="_([$$-409]* #,##0.00_);_([$$-409]* \(#,##0.00\);_([$$-409]* &quot;-&quot;??_);_(@_)"/>
      <fill>
        <patternFill patternType="solid">
          <fgColor indexed="64"/>
          <bgColor theme="0"/>
        </patternFill>
      </fill>
    </dxf>
    <dxf>
      <fill>
        <patternFill patternType="solid">
          <fgColor indexed="64"/>
          <bgColor theme="0"/>
        </patternFill>
      </fill>
    </dxf>
    <dxf>
      <font>
        <strike val="0"/>
        <outline val="0"/>
        <shadow val="0"/>
        <u val="none"/>
        <vertAlign val="baseline"/>
        <sz val="11"/>
        <color auto="1"/>
        <name val="Calibri"/>
        <family val="2"/>
        <scheme val="minor"/>
      </font>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13" formatCode="0%"/>
      <fill>
        <patternFill patternType="solid">
          <fgColor indexed="64"/>
          <bgColor theme="0"/>
        </patternFill>
      </fill>
    </dxf>
    <dxf>
      <fill>
        <patternFill patternType="solid">
          <fgColor indexed="64"/>
          <bgColor theme="0"/>
        </patternFill>
      </fill>
    </dxf>
    <dxf>
      <numFmt numFmtId="13" formatCode="0%"/>
      <fill>
        <patternFill patternType="solid">
          <fgColor indexed="64"/>
          <bgColor theme="0"/>
        </patternFill>
      </fill>
    </dxf>
    <dxf>
      <fill>
        <patternFill patternType="solid">
          <fgColor indexed="64"/>
          <bgColor theme="0"/>
        </patternFill>
      </fill>
    </dxf>
    <dxf>
      <numFmt numFmtId="13" formatCode="0%"/>
      <fill>
        <patternFill patternType="solid">
          <fgColor indexed="64"/>
          <bgColor theme="0"/>
        </patternFill>
      </fill>
    </dxf>
    <dxf>
      <fill>
        <patternFill patternType="solid">
          <fgColor indexed="64"/>
          <bgColor theme="0"/>
        </patternFill>
      </fill>
    </dxf>
    <dxf>
      <numFmt numFmtId="13" formatCode="0%"/>
      <fill>
        <patternFill patternType="solid">
          <fgColor indexed="64"/>
          <bgColor theme="0"/>
        </patternFill>
      </fill>
    </dxf>
    <dxf>
      <numFmt numFmtId="13" formatCode="0%"/>
      <fill>
        <patternFill patternType="solid">
          <fgColor indexed="64"/>
          <bgColor theme="0"/>
        </patternFill>
      </fill>
    </dxf>
    <dxf>
      <numFmt numFmtId="1" formatCode="0"/>
      <fill>
        <patternFill patternType="solid">
          <fgColor indexed="64"/>
          <bgColor theme="0"/>
        </patternFill>
      </fill>
    </dxf>
    <dxf>
      <numFmt numFmtId="167" formatCode="_-[$$-1009]* #,##0.00_-;\-[$$-1009]* #,##0.00_-;_-[$$-1009]*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 formatCode="0"/>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numFmt numFmtId="34" formatCode="_-&quot;$&quot;* #,##0.00_-;\-&quot;$&quot;* #,##0.00_-;_-&quot;$&quot;*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69" formatCode="_-* #,##0_-;\-* #,##0_-;_-* &quot;-&quot;??_-;_-@_-"/>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numFmt numFmtId="172" formatCode="_-[$$-409]* #,##0.0_ ;_-[$$-409]* \-#,##0.0\ ;_-[$$-409]* &quot;-&quot;?_ ;_-@_ "/>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69" formatCode="_-* #,##0_-;\-* #,##0_-;_-* &quot;-&quot;??_-;_-@_-"/>
      <fill>
        <patternFill patternType="solid">
          <fgColor indexed="64"/>
          <bgColor theme="0"/>
        </patternFill>
      </fill>
    </dxf>
    <dxf>
      <fill>
        <patternFill patternType="solid">
          <fgColor indexed="64"/>
          <bgColor theme="0"/>
        </patternFill>
      </fill>
    </dxf>
    <dxf>
      <numFmt numFmtId="169" formatCode="_-* #,##0_-;\-* #,##0_-;_-*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66" formatCode="_([$$-409]* #,##0_);_([$$-409]* \(#,##0\);_([$$-409]* &quot;-&quot;_);_(@_)"/>
      <fill>
        <patternFill patternType="solid">
          <fgColor indexed="64"/>
          <bgColor theme="0"/>
        </patternFill>
      </fill>
    </dxf>
    <dxf>
      <fill>
        <patternFill patternType="solid">
          <fgColor indexed="64"/>
          <bgColor theme="0"/>
        </patternFill>
      </fill>
    </dxf>
    <dxf>
      <numFmt numFmtId="166" formatCode="_([$$-409]* #,##0_);_([$$-409]* \(#,##0\);_([$$-409]* &quot;-&quot;_);_(@_)"/>
      <fill>
        <patternFill patternType="solid">
          <fgColor indexed="64"/>
          <bgColor theme="0"/>
        </patternFill>
      </fill>
    </dxf>
    <dxf>
      <fill>
        <patternFill patternType="solid">
          <fgColor indexed="64"/>
          <bgColor theme="0"/>
        </patternFill>
      </fill>
    </dxf>
    <dxf>
      <numFmt numFmtId="167" formatCode="_-[$$-1009]* #,##0.00_-;\-[$$-1009]* #,##0.00_-;_-[$$-1009]*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2" formatCode="0.00"/>
      <fill>
        <patternFill patternType="solid">
          <fgColor indexed="64"/>
          <bgColor theme="0"/>
        </patternFill>
      </fill>
    </dxf>
    <dxf>
      <numFmt numFmtId="13" formatCode="0%"/>
      <fill>
        <patternFill patternType="solid">
          <fgColor indexed="64"/>
          <bgColor theme="0"/>
        </patternFill>
      </fill>
    </dxf>
    <dxf>
      <fill>
        <patternFill patternType="solid">
          <fgColor indexed="64"/>
          <bgColor theme="0"/>
        </patternFill>
      </fill>
    </dxf>
    <dxf>
      <numFmt numFmtId="13" formatCode="0%"/>
      <fill>
        <patternFill patternType="solid">
          <fgColor indexed="64"/>
          <bgColor theme="0"/>
        </patternFill>
      </fill>
    </dxf>
    <dxf>
      <fill>
        <patternFill patternType="solid">
          <fgColor indexed="64"/>
          <bgColor theme="0"/>
        </patternFill>
      </fill>
    </dxf>
    <dxf>
      <numFmt numFmtId="13" formatCode="0%"/>
      <fill>
        <patternFill patternType="solid">
          <fgColor indexed="64"/>
          <bgColor theme="0"/>
        </patternFill>
      </fill>
    </dxf>
    <dxf>
      <fill>
        <patternFill patternType="solid">
          <fgColor indexed="64"/>
          <bgColor theme="0"/>
        </patternFill>
      </fill>
    </dxf>
    <dxf>
      <numFmt numFmtId="13" formatCode="0%"/>
      <fill>
        <patternFill patternType="solid">
          <fgColor indexed="64"/>
          <bgColor theme="0"/>
        </patternFill>
      </fill>
    </dxf>
    <dxf>
      <fill>
        <patternFill patternType="solid">
          <fgColor indexed="64"/>
          <bgColor theme="0"/>
        </patternFill>
      </fill>
    </dxf>
    <dxf>
      <numFmt numFmtId="1" formatCode="0"/>
      <fill>
        <patternFill patternType="solid">
          <fgColor indexed="64"/>
          <bgColor theme="0"/>
        </patternFill>
      </fill>
    </dxf>
    <dxf>
      <numFmt numFmtId="1" formatCode="0"/>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 formatCode="0"/>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34" formatCode="_-&quot;$&quot;* #,##0.00_-;\-&quot;$&quot;* #,##0.00_-;_-&quot;$&quot;* &quot;-&quot;??_-;_-@_-"/>
      <fill>
        <patternFill patternType="solid">
          <fgColor indexed="64"/>
          <bgColor theme="0"/>
        </patternFill>
      </fill>
    </dxf>
    <dxf>
      <fill>
        <patternFill patternType="solid">
          <fgColor indexed="64"/>
          <bgColor theme="0"/>
        </patternFill>
      </fill>
    </dxf>
    <dxf>
      <numFmt numFmtId="34" formatCode="_-&quot;$&quot;* #,##0.00_-;\-&quot;$&quot;* #,##0.00_-;_-&quot;$&quot;*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75" formatCode="0.000"/>
      <fill>
        <patternFill patternType="solid">
          <fgColor indexed="64"/>
          <bgColor theme="0"/>
        </patternFill>
      </fill>
    </dxf>
    <dxf>
      <fill>
        <patternFill patternType="solid">
          <fgColor indexed="64"/>
          <bgColor theme="0"/>
        </patternFill>
      </fill>
    </dxf>
    <dxf>
      <numFmt numFmtId="34" formatCode="_-&quot;$&quot;* #,##0.00_-;\-&quot;$&quot;* #,##0.00_-;_-&quot;$&quot;* &quot;-&quot;??_-;_-@_-"/>
      <fill>
        <patternFill patternType="solid">
          <fgColor indexed="64"/>
          <bgColor theme="0"/>
        </patternFill>
      </fill>
    </dxf>
    <dxf>
      <fill>
        <patternFill patternType="solid">
          <fgColor indexed="64"/>
          <bgColor theme="0"/>
        </patternFill>
      </fill>
    </dxf>
    <dxf>
      <numFmt numFmtId="13" formatCode="0%"/>
      <fill>
        <patternFill patternType="solid">
          <fgColor indexed="64"/>
          <bgColor theme="0"/>
        </patternFill>
      </fill>
    </dxf>
    <dxf>
      <fill>
        <patternFill patternType="solid">
          <fgColor indexed="64"/>
          <bgColor theme="0"/>
        </patternFill>
      </fill>
    </dxf>
    <dxf>
      <numFmt numFmtId="165" formatCode="_([$$-409]* #,##0.00_);_([$$-409]* \(#,##0.00\);_([$$-409]*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34" formatCode="_-&quot;$&quot;* #,##0.00_-;\-&quot;$&quot;* #,##0.00_-;_-&quot;$&quot;*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69" formatCode="_-* #,##0_-;\-* #,##0_-;_-* &quot;-&quot;??_-;_-@_-"/>
      <fill>
        <patternFill patternType="solid">
          <fgColor indexed="64"/>
          <bgColor theme="0"/>
        </patternFill>
      </fill>
    </dxf>
    <dxf>
      <fill>
        <patternFill patternType="solid">
          <fgColor indexed="64"/>
          <bgColor theme="0"/>
        </patternFill>
      </fill>
    </dxf>
    <dxf>
      <numFmt numFmtId="169" formatCode="_-* #,##0_-;\-* #,##0_-;_-*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66" formatCode="_([$$-409]* #,##0_);_([$$-409]* \(#,##0\);_([$$-409]* &quot;-&quot;_);_(@_)"/>
      <fill>
        <patternFill patternType="solid">
          <fgColor indexed="64"/>
          <bgColor theme="0"/>
        </patternFill>
      </fill>
    </dxf>
    <dxf>
      <fill>
        <patternFill patternType="solid">
          <fgColor indexed="64"/>
          <bgColor theme="0"/>
        </patternFill>
      </fill>
    </dxf>
    <dxf>
      <numFmt numFmtId="166" formatCode="_([$$-409]* #,##0_);_([$$-409]* \(#,##0\);_([$$-409]* &quot;-&quot;_);_(@_)"/>
      <fill>
        <patternFill patternType="solid">
          <fgColor indexed="64"/>
          <bgColor theme="0"/>
        </patternFill>
      </fill>
    </dxf>
    <dxf>
      <fill>
        <patternFill patternType="solid">
          <fgColor indexed="64"/>
          <bgColor theme="0"/>
        </patternFill>
      </fill>
    </dxf>
    <dxf>
      <numFmt numFmtId="167" formatCode="_-[$$-1009]* #,##0.00_-;\-[$$-1009]* #,##0.00_-;_-[$$-1009]*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2" formatCode="0.00"/>
      <fill>
        <patternFill patternType="solid">
          <fgColor indexed="64"/>
          <bgColor theme="0"/>
        </patternFill>
      </fill>
    </dxf>
    <dxf>
      <numFmt numFmtId="0" formatCode="General"/>
      <fill>
        <patternFill patternType="solid">
          <fgColor indexed="64"/>
          <bgColor theme="0"/>
        </patternFill>
      </fill>
    </dxf>
    <dxf>
      <numFmt numFmtId="2" formatCode="0.00"/>
      <fill>
        <patternFill patternType="solid">
          <fgColor indexed="64"/>
          <bgColor theme="0"/>
        </patternFill>
      </fill>
    </dxf>
    <dxf>
      <numFmt numFmtId="0" formatCode="General"/>
      <fill>
        <patternFill patternType="solid">
          <fgColor indexed="64"/>
          <bgColor theme="0"/>
        </patternFill>
      </fill>
    </dxf>
    <dxf>
      <numFmt numFmtId="2" formatCode="0.00"/>
      <fill>
        <patternFill patternType="solid">
          <fgColor indexed="64"/>
          <bgColor theme="0"/>
        </patternFill>
      </fill>
    </dxf>
    <dxf>
      <numFmt numFmtId="0" formatCode="General"/>
      <fill>
        <patternFill patternType="solid">
          <fgColor indexed="64"/>
          <bgColor theme="0"/>
        </patternFill>
      </fill>
    </dxf>
    <dxf>
      <numFmt numFmtId="2" formatCode="0.00"/>
      <fill>
        <patternFill patternType="solid">
          <fgColor indexed="64"/>
          <bgColor theme="0"/>
        </patternFill>
      </fill>
    </dxf>
    <dxf>
      <numFmt numFmtId="0" formatCode="General"/>
      <fill>
        <patternFill patternType="solid">
          <fgColor indexed="64"/>
          <bgColor theme="0"/>
        </patternFill>
      </fill>
    </dxf>
    <dxf>
      <numFmt numFmtId="13" formatCode="0%"/>
      <fill>
        <patternFill patternType="solid">
          <fgColor indexed="64"/>
          <bgColor theme="0"/>
        </patternFill>
      </fill>
    </dxf>
    <dxf>
      <numFmt numFmtId="13" formatCode="0%"/>
      <fill>
        <patternFill patternType="solid">
          <fgColor indexed="64"/>
          <bgColor theme="0"/>
        </patternFill>
      </fill>
    </dxf>
    <dxf>
      <numFmt numFmtId="13" formatCode="0%"/>
      <fill>
        <patternFill patternType="solid">
          <fgColor indexed="64"/>
          <bgColor theme="0"/>
        </patternFill>
      </fill>
    </dxf>
    <dxf>
      <numFmt numFmtId="13" formatCode="0%"/>
      <fill>
        <patternFill patternType="solid">
          <fgColor indexed="64"/>
          <bgColor theme="0"/>
        </patternFill>
      </fill>
    </dxf>
    <dxf>
      <numFmt numFmtId="13" formatCode="0%"/>
      <fill>
        <patternFill patternType="solid">
          <fgColor indexed="64"/>
          <bgColor theme="0"/>
        </patternFill>
      </fill>
    </dxf>
    <dxf>
      <numFmt numFmtId="13" formatCode="0%"/>
      <fill>
        <patternFill patternType="solid">
          <fgColor indexed="64"/>
          <bgColor theme="0"/>
        </patternFill>
      </fill>
    </dxf>
    <dxf>
      <numFmt numFmtId="13" formatCode="0%"/>
      <fill>
        <patternFill patternType="solid">
          <fgColor indexed="64"/>
          <bgColor theme="0"/>
        </patternFill>
      </fill>
    </dxf>
    <dxf>
      <numFmt numFmtId="0" formatCode="General"/>
      <fill>
        <patternFill patternType="solid">
          <fgColor indexed="64"/>
          <bgColor theme="0"/>
        </patternFill>
      </fill>
    </dxf>
    <dxf>
      <numFmt numFmtId="1" formatCode="0"/>
      <fill>
        <patternFill patternType="solid">
          <fgColor indexed="64"/>
          <bgColor theme="0"/>
        </patternFill>
      </fill>
    </dxf>
    <dxf>
      <numFmt numFmtId="167" formatCode="_-[$$-1009]* #,##0.00_-;\-[$$-1009]* #,##0.00_-;_-[$$-1009]*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 formatCode="0"/>
      <fill>
        <patternFill patternType="solid">
          <fgColor indexed="64"/>
          <bgColor theme="0"/>
        </patternFill>
      </fill>
    </dxf>
    <dxf>
      <numFmt numFmtId="1" formatCode="0"/>
      <fill>
        <patternFill patternType="solid">
          <fgColor indexed="64"/>
          <bgColor theme="0"/>
        </patternFill>
      </fill>
    </dxf>
    <dxf>
      <fill>
        <patternFill patternType="solid">
          <fgColor indexed="64"/>
          <bgColor theme="0"/>
        </patternFill>
      </fill>
    </dxf>
    <dxf>
      <numFmt numFmtId="2" formatCode="0.00"/>
      <fill>
        <patternFill patternType="solid">
          <fgColor indexed="64"/>
          <bgColor theme="0"/>
        </patternFill>
      </fill>
    </dxf>
    <dxf>
      <fill>
        <patternFill patternType="solid">
          <fgColor indexed="64"/>
          <bgColor theme="0"/>
        </patternFill>
      </fill>
    </dxf>
    <dxf>
      <numFmt numFmtId="34" formatCode="_-&quot;$&quot;* #,##0.00_-;\-&quot;$&quot;* #,##0.00_-;_-&quot;$&quot;* &quot;-&quot;??_-;_-@_-"/>
      <fill>
        <patternFill patternType="solid">
          <fgColor indexed="64"/>
          <bgColor theme="0"/>
        </patternFill>
      </fill>
    </dxf>
    <dxf>
      <fill>
        <patternFill patternType="solid">
          <fgColor indexed="64"/>
          <bgColor theme="0"/>
        </patternFill>
      </fill>
    </dxf>
    <dxf>
      <numFmt numFmtId="173" formatCode="_-[$$-409]* #,##0.00_ ;_-[$$-409]* \-#,##0.00\ ;_-[$$-409]* &quot;-&quot;??_ ;_-@_ "/>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2" formatCode="0.00"/>
      <fill>
        <patternFill patternType="solid">
          <fgColor indexed="64"/>
          <bgColor theme="0"/>
        </patternFill>
      </fill>
    </dxf>
    <dxf>
      <fill>
        <patternFill patternType="solid">
          <fgColor indexed="64"/>
          <bgColor theme="0"/>
        </patternFill>
      </fill>
    </dxf>
    <dxf>
      <numFmt numFmtId="34" formatCode="_-&quot;$&quot;* #,##0.00_-;\-&quot;$&quot;* #,##0.00_-;_-&quot;$&quot;* &quot;-&quot;??_-;_-@_-"/>
      <fill>
        <patternFill patternType="solid">
          <fgColor indexed="64"/>
          <bgColor theme="0"/>
        </patternFill>
      </fill>
    </dxf>
    <dxf>
      <fill>
        <patternFill patternType="solid">
          <fgColor indexed="64"/>
          <bgColor theme="0"/>
        </patternFill>
      </fill>
    </dxf>
    <dxf>
      <numFmt numFmtId="165" formatCode="_([$$-409]* #,##0.00_);_([$$-409]* \(#,##0.00\);_([$$-409]* &quot;-&quot;??_);_(@_)"/>
      <fill>
        <patternFill patternType="solid">
          <fgColor indexed="64"/>
          <bgColor theme="0"/>
        </patternFill>
      </fill>
    </dxf>
    <dxf>
      <fill>
        <patternFill patternType="solid">
          <fgColor indexed="64"/>
          <bgColor theme="0"/>
        </patternFill>
      </fill>
    </dxf>
    <dxf>
      <numFmt numFmtId="165" formatCode="_([$$-409]* #,##0.00_);_([$$-409]* \(#,##0.00\);_([$$-409]*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34" formatCode="_-&quot;$&quot;* #,##0.00_-;\-&quot;$&quot;* #,##0.00_-;_-&quot;$&quot;*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69" formatCode="_-* #,##0_-;\-* #,##0_-;_-* &quot;-&quot;??_-;_-@_-"/>
      <fill>
        <patternFill patternType="solid">
          <fgColor indexed="64"/>
          <bgColor theme="0"/>
        </patternFill>
      </fill>
    </dxf>
    <dxf>
      <fill>
        <patternFill patternType="solid">
          <fgColor indexed="64"/>
          <bgColor theme="0"/>
        </patternFill>
      </fill>
    </dxf>
    <dxf>
      <numFmt numFmtId="169" formatCode="_-* #,##0_-;\-* #,##0_-;_-*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numFmt numFmtId="169" formatCode="_-* #,##0_-;\-* #,##0_-;_-* &quot;-&quot;??_-;_-@_-"/>
      <fill>
        <patternFill patternType="solid">
          <fgColor indexed="64"/>
          <bgColor theme="0"/>
        </patternFill>
      </fill>
    </dxf>
    <dxf>
      <fill>
        <patternFill patternType="solid">
          <fgColor indexed="64"/>
          <bgColor theme="0"/>
        </patternFill>
      </fill>
    </dxf>
    <dxf>
      <numFmt numFmtId="166" formatCode="_([$$-409]* #,##0_);_([$$-409]* \(#,##0\);_([$$-409]* &quot;-&quot;_);_(@_)"/>
      <fill>
        <patternFill patternType="solid">
          <fgColor indexed="64"/>
          <bgColor theme="0"/>
        </patternFill>
      </fill>
    </dxf>
    <dxf>
      <fill>
        <patternFill patternType="solid">
          <fgColor indexed="64"/>
          <bgColor theme="0"/>
        </patternFill>
      </fill>
    </dxf>
    <dxf>
      <numFmt numFmtId="167" formatCode="_-[$$-1009]* #,##0.00_-;\-[$$-1009]* #,##0.00_-;_-[$$-1009]*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2" formatCode="0.00"/>
    </dxf>
    <dxf>
      <numFmt numFmtId="2" formatCode="0.00"/>
      <fill>
        <patternFill patternType="solid">
          <fgColor indexed="64"/>
          <bgColor theme="0"/>
        </patternFill>
      </fill>
    </dxf>
    <dxf>
      <numFmt numFmtId="2" formatCode="0.00"/>
    </dxf>
    <dxf>
      <numFmt numFmtId="2" formatCode="0.00"/>
      <fill>
        <patternFill patternType="solid">
          <fgColor indexed="64"/>
          <bgColor theme="0"/>
        </patternFill>
      </fill>
    </dxf>
    <dxf>
      <numFmt numFmtId="2" formatCode="0.00"/>
    </dxf>
    <dxf>
      <numFmt numFmtId="2" formatCode="0.00"/>
      <fill>
        <patternFill patternType="solid">
          <fgColor indexed="64"/>
          <bgColor theme="0"/>
        </patternFill>
      </fill>
    </dxf>
    <dxf>
      <numFmt numFmtId="2" formatCode="0.00"/>
    </dxf>
    <dxf>
      <numFmt numFmtId="2" formatCode="0.00"/>
      <fill>
        <patternFill patternType="solid">
          <fgColor indexed="64"/>
          <bgColor theme="0"/>
        </patternFill>
      </fill>
    </dxf>
    <dxf>
      <numFmt numFmtId="13" formatCode="0%"/>
    </dxf>
    <dxf>
      <fill>
        <patternFill patternType="solid">
          <fgColor indexed="64"/>
          <bgColor theme="0"/>
        </patternFill>
      </fill>
    </dxf>
    <dxf>
      <numFmt numFmtId="13" formatCode="0%"/>
    </dxf>
    <dxf>
      <fill>
        <patternFill patternType="solid">
          <fgColor indexed="64"/>
          <bgColor theme="0"/>
        </patternFill>
      </fill>
    </dxf>
    <dxf>
      <numFmt numFmtId="13" formatCode="0%"/>
    </dxf>
    <dxf>
      <fill>
        <patternFill patternType="solid">
          <fgColor indexed="64"/>
          <bgColor theme="0"/>
        </patternFill>
      </fill>
    </dxf>
    <dxf>
      <numFmt numFmtId="13" formatCode="0%"/>
    </dxf>
    <dxf>
      <fill>
        <patternFill patternType="solid">
          <fgColor indexed="64"/>
          <bgColor theme="0"/>
        </patternFill>
      </fill>
    </dxf>
    <dxf>
      <numFmt numFmtId="1" formatCode="0"/>
    </dxf>
    <dxf>
      <numFmt numFmtId="1" formatCode="0"/>
      <fill>
        <patternFill patternType="solid">
          <fgColor indexed="64"/>
          <bgColor theme="0"/>
        </patternFill>
      </fill>
    </dxf>
    <dxf>
      <fill>
        <patternFill patternType="solid">
          <fgColor indexed="64"/>
          <bgColor theme="0"/>
        </patternFill>
      </fill>
    </dxf>
    <dxf>
      <numFmt numFmtId="1" formatCode="0"/>
    </dxf>
    <dxf>
      <numFmt numFmtId="1" formatCode="0"/>
      <fill>
        <patternFill patternType="solid">
          <fgColor indexed="64"/>
          <bgColor theme="0"/>
        </patternFill>
      </fill>
    </dxf>
    <dxf>
      <numFmt numFmtId="176" formatCode="_([$$-409]* #,##0.000_);_([$$-409]* \(#,##0.000\);_([$$-409]* &quot;-&quot;_);_(@_)"/>
      <fill>
        <patternFill patternType="solid">
          <fgColor indexed="64"/>
          <bgColor theme="0"/>
        </patternFill>
      </fill>
    </dxf>
    <dxf>
      <numFmt numFmtId="34" formatCode="_-&quot;$&quot;* #,##0.00_-;\-&quot;$&quot;* #,##0.00_-;_-&quot;$&quot;* &quot;-&quot;??_-;_-@_-"/>
      <fill>
        <patternFill patternType="solid">
          <fgColor indexed="64"/>
          <bgColor theme="0"/>
        </patternFill>
      </fill>
    </dxf>
    <dxf>
      <numFmt numFmtId="173" formatCode="_-[$$-409]* #,##0.00_ ;_-[$$-409]* \-#,##0.00\ ;_-[$$-409]* &quot;-&quot;??_ ;_-@_ "/>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75" formatCode="0.000"/>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65" formatCode="_([$$-409]* #,##0.00_);_([$$-409]* \(#,##0.00\);_([$$-409]* &quot;-&quot;??_);_(@_)"/>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66" formatCode="_([$$-409]* #,##0_);_([$$-409]* \(#,##0\);_([$$-409]* &quot;-&quot;_);_(@_)"/>
      <fill>
        <patternFill patternType="solid">
          <fgColor indexed="64"/>
          <bgColor theme="0"/>
        </patternFill>
      </fill>
    </dxf>
    <dxf>
      <fill>
        <patternFill patternType="solid">
          <fgColor indexed="64"/>
          <bgColor theme="0"/>
        </patternFill>
      </fill>
    </dxf>
    <dxf>
      <numFmt numFmtId="166" formatCode="_([$$-409]* #,##0_);_([$$-409]* \(#,##0\);_([$$-409]* &quot;-&quot;_);_(@_)"/>
      <fill>
        <patternFill patternType="solid">
          <fgColor indexed="64"/>
          <bgColor theme="0"/>
        </patternFill>
      </fill>
    </dxf>
    <dxf>
      <fill>
        <patternFill patternType="solid">
          <fgColor indexed="64"/>
          <bgColor theme="0"/>
        </patternFill>
      </fill>
    </dxf>
    <dxf>
      <numFmt numFmtId="167" formatCode="_-[$$-1009]* #,##0.00_-;\-[$$-1009]* #,##0.00_-;_-[$$-1009]* &quot;-&quot;??_-;_-@_-"/>
      <fill>
        <patternFill patternType="solid">
          <fgColor indexed="64"/>
          <bgColor theme="0"/>
        </patternFill>
      </fill>
    </dxf>
    <dxf>
      <font>
        <b/>
        <i val="0"/>
        <strike val="0"/>
        <condense val="0"/>
        <extend val="0"/>
        <outline val="0"/>
        <shadow val="0"/>
        <u val="none"/>
        <vertAlign val="baseline"/>
        <sz val="11"/>
        <color theme="1"/>
        <name val="Calibri"/>
        <family val="2"/>
        <scheme val="minor"/>
      </font>
      <fill>
        <patternFill patternType="solid">
          <fgColor indexed="64"/>
          <bgColor theme="0"/>
        </patternFill>
      </fill>
    </dxf>
    <dxf>
      <fill>
        <patternFill patternType="solid">
          <fgColor indexed="64"/>
          <bgColor theme="0"/>
        </patternFill>
      </fill>
    </dxf>
    <dxf>
      <numFmt numFmtId="14" formatCode="0.00%"/>
      <fill>
        <patternFill patternType="solid">
          <fgColor indexed="64"/>
          <bgColor theme="0"/>
        </patternFill>
      </fill>
    </dxf>
    <dxf>
      <numFmt numFmtId="165" formatCode="_([$$-409]* #,##0.00_);_([$$-409]* \(#,##0.00\);_([$$-409]* &quot;-&quot;??_);_(@_)"/>
      <fill>
        <patternFill patternType="solid">
          <fgColor indexed="64"/>
          <bgColor theme="0"/>
        </patternFill>
      </fill>
    </dxf>
    <dxf>
      <numFmt numFmtId="165" formatCode="_([$$-409]* #,##0.00_);_([$$-409]* \(#,##0.00\);_([$$-409]* &quot;-&quot;??_);_(@_)"/>
      <fill>
        <patternFill patternType="solid">
          <fgColor indexed="64"/>
          <bgColor theme="0"/>
        </patternFill>
      </fill>
    </dxf>
    <dxf>
      <fill>
        <patternFill patternType="solid">
          <fgColor indexed="64"/>
          <bgColor theme="0"/>
        </patternFill>
      </fill>
    </dxf>
    <dxf>
      <font>
        <strike val="0"/>
        <outline val="0"/>
        <shadow val="0"/>
        <u val="none"/>
        <vertAlign val="baseline"/>
        <sz val="11"/>
        <color auto="1"/>
        <name val="Calibri"/>
        <family val="2"/>
        <scheme val="minor"/>
      </font>
      <fill>
        <patternFill patternType="solid">
          <fgColor indexed="64"/>
          <bgColor theme="0"/>
        </patternFill>
      </fill>
    </dxf>
    <dxf>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fill>
        <patternFill patternType="solid">
          <fgColor indexed="64"/>
          <bgColor theme="0"/>
        </patternFill>
      </fill>
    </dxf>
    <dxf>
      <numFmt numFmtId="3" formatCode="#,##0"/>
      <fill>
        <patternFill patternType="solid">
          <fgColor indexed="64"/>
          <bgColor theme="0"/>
        </patternFill>
      </fill>
    </dxf>
    <dxf>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numFmt numFmtId="166" formatCode="_([$$-409]* #,##0_);_([$$-409]* \(#,##0\);_([$$-409]* &quot;-&quot;_);_(@_)"/>
      <fill>
        <patternFill patternType="solid">
          <fgColor indexed="64"/>
          <bgColor theme="0"/>
        </patternFill>
      </fill>
    </dxf>
    <dxf>
      <numFmt numFmtId="3" formatCode="#,##0"/>
      <fill>
        <patternFill patternType="solid">
          <fgColor indexed="64"/>
          <bgColor theme="0"/>
        </patternFill>
      </fill>
    </dxf>
    <dxf>
      <numFmt numFmtId="14" formatCode="0.00%"/>
      <fill>
        <patternFill patternType="solid">
          <fgColor indexed="64"/>
          <bgColor theme="0"/>
        </patternFill>
      </fill>
    </dxf>
    <dxf>
      <numFmt numFmtId="166" formatCode="_([$$-409]* #,##0_);_([$$-409]* \(#,##0\);_([$$-409]* &quot;-&quot;_);_(@_)"/>
      <fill>
        <patternFill patternType="solid">
          <fgColor indexed="64"/>
          <bgColor theme="0"/>
        </patternFill>
      </fill>
    </dxf>
    <dxf>
      <numFmt numFmtId="167" formatCode="_-[$$-1009]* #,##0.00_-;\-[$$-1009]* #,##0.00_-;_-[$$-1009]* &quot;-&quot;??_-;_-@_-"/>
      <fill>
        <patternFill patternType="solid">
          <fgColor indexed="64"/>
          <bgColor theme="0"/>
        </patternFill>
      </fill>
    </dxf>
    <dxf>
      <fill>
        <patternFill patternType="solid">
          <fgColor indexed="64"/>
          <bgColor theme="0"/>
        </patternFill>
      </fill>
    </dxf>
    <dxf>
      <font>
        <strike val="0"/>
        <outline val="0"/>
        <shadow val="0"/>
        <u val="none"/>
        <vertAlign val="baseline"/>
        <sz val="11"/>
        <color auto="1"/>
        <name val="Calibri"/>
        <family val="2"/>
        <scheme val="minor"/>
      </font>
    </dxf>
    <dxf>
      <fill>
        <patternFill patternType="solid">
          <fgColor indexed="64"/>
          <bgColor theme="0"/>
        </patternFill>
      </fill>
    </dxf>
    <dxf>
      <numFmt numFmtId="13" formatCode="0%"/>
      <fill>
        <patternFill patternType="solid">
          <fgColor indexed="64"/>
          <bgColor theme="0"/>
        </patternFill>
      </fill>
    </dxf>
    <dxf>
      <fill>
        <patternFill patternType="solid">
          <fgColor indexed="64"/>
          <bgColor theme="0"/>
        </patternFill>
      </fill>
    </dxf>
    <dxf>
      <numFmt numFmtId="3" formatCode="#,##0"/>
      <fill>
        <patternFill patternType="solid">
          <fgColor indexed="64"/>
          <bgColor theme="0"/>
        </patternFill>
      </fill>
    </dxf>
    <dxf>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numFmt numFmtId="166" formatCode="_([$$-409]* #,##0_);_([$$-409]* \(#,##0\);_([$$-409]* &quot;-&quot;_);_(@_)"/>
      <fill>
        <patternFill patternType="solid">
          <fgColor indexed="64"/>
          <bgColor theme="0"/>
        </patternFill>
      </fill>
    </dxf>
    <dxf>
      <numFmt numFmtId="3" formatCode="#,##0"/>
      <fill>
        <patternFill patternType="solid">
          <fgColor indexed="64"/>
          <bgColor theme="0"/>
        </patternFill>
      </fill>
    </dxf>
    <dxf>
      <numFmt numFmtId="14" formatCode="0.00%"/>
      <fill>
        <patternFill patternType="solid">
          <fgColor indexed="64"/>
          <bgColor theme="0"/>
        </patternFill>
      </fill>
    </dxf>
    <dxf>
      <numFmt numFmtId="166" formatCode="_([$$-409]* #,##0_);_([$$-409]* \(#,##0\);_([$$-409]* &quot;-&quot;_);_(@_)"/>
      <fill>
        <patternFill patternType="solid">
          <fgColor indexed="64"/>
          <bgColor theme="0"/>
        </patternFill>
      </fill>
    </dxf>
    <dxf>
      <numFmt numFmtId="167" formatCode="_-[$$-1009]* #,##0.00_-;\-[$$-1009]* #,##0.00_-;_-[$$-1009]* &quot;-&quot;??_-;_-@_-"/>
      <fill>
        <patternFill patternType="solid">
          <fgColor indexed="64"/>
          <bgColor theme="0"/>
        </patternFill>
      </fill>
    </dxf>
    <dxf>
      <fill>
        <patternFill patternType="solid">
          <fgColor indexed="64"/>
          <bgColor theme="0"/>
        </patternFill>
      </fill>
    </dxf>
    <dxf>
      <font>
        <b val="0"/>
        <strike val="0"/>
        <outline val="0"/>
        <shadow val="0"/>
        <u val="none"/>
        <vertAlign val="baseline"/>
        <sz val="11"/>
        <color auto="1"/>
        <name val="Calibri"/>
        <family val="2"/>
        <scheme val="minor"/>
      </font>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3" formatCode="#,##0"/>
      <fill>
        <patternFill patternType="solid">
          <fgColor indexed="64"/>
          <bgColor theme="0"/>
        </patternFill>
      </fill>
    </dxf>
    <dxf>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numFmt numFmtId="166" formatCode="_([$$-409]* #,##0_);_([$$-409]* \(#,##0\);_([$$-409]* &quot;-&quot;_);_(@_)"/>
      <fill>
        <patternFill patternType="solid">
          <fgColor indexed="64"/>
          <bgColor theme="0"/>
        </patternFill>
      </fill>
    </dxf>
    <dxf>
      <numFmt numFmtId="3" formatCode="#,##0"/>
      <fill>
        <patternFill patternType="solid">
          <fgColor indexed="64"/>
          <bgColor theme="0"/>
        </patternFill>
      </fill>
    </dxf>
    <dxf>
      <numFmt numFmtId="14" formatCode="0.00%"/>
      <fill>
        <patternFill patternType="solid">
          <fgColor indexed="64"/>
          <bgColor theme="0"/>
        </patternFill>
      </fill>
    </dxf>
    <dxf>
      <numFmt numFmtId="166" formatCode="_([$$-409]* #,##0_);_([$$-409]* \(#,##0\);_([$$-409]* &quot;-&quot;_);_(@_)"/>
      <fill>
        <patternFill patternType="solid">
          <fgColor indexed="64"/>
          <bgColor theme="0"/>
        </patternFill>
      </fill>
    </dxf>
    <dxf>
      <numFmt numFmtId="167" formatCode="_-[$$-1009]* #,##0.00_-;\-[$$-1009]* #,##0.00_-;_-[$$-1009]* &quot;-&quot;??_-;_-@_-"/>
      <fill>
        <patternFill patternType="solid">
          <fgColor indexed="64"/>
          <bgColor theme="0"/>
        </patternFill>
      </fill>
    </dxf>
    <dxf>
      <fill>
        <patternFill patternType="solid">
          <fgColor indexed="64"/>
          <bgColor theme="0"/>
        </patternFill>
      </fill>
    </dxf>
    <dxf>
      <font>
        <strike val="0"/>
        <outline val="0"/>
        <shadow val="0"/>
        <u val="none"/>
        <vertAlign val="baseline"/>
        <sz val="11"/>
        <color auto="1"/>
        <name val="Calibri"/>
        <family val="2"/>
        <scheme val="minor"/>
      </font>
    </dxf>
    <dxf>
      <numFmt numFmtId="167" formatCode="_-[$$-1009]* #,##0.00_-;\-[$$-1009]* #,##0.00_-;_-[$$-1009]* &quot;-&quot;??_-;_-@_-"/>
      <fill>
        <patternFill patternType="solid">
          <fgColor indexed="64"/>
          <bgColor theme="0"/>
        </patternFill>
      </fill>
    </dxf>
    <dxf>
      <font>
        <b val="0"/>
        <i val="0"/>
        <strike val="0"/>
        <condense val="0"/>
        <extend val="0"/>
        <outline val="0"/>
        <shadow val="0"/>
        <u val="none"/>
        <vertAlign val="baseline"/>
        <sz val="11"/>
        <color theme="1"/>
        <name val="Calibri"/>
        <family val="2"/>
        <scheme val="minor"/>
      </font>
      <fill>
        <patternFill patternType="solid">
          <fgColor indexed="64"/>
          <bgColor theme="0"/>
        </patternFill>
      </fill>
    </dxf>
    <dxf>
      <font>
        <b val="0"/>
        <i val="0"/>
        <strike val="0"/>
        <condense val="0"/>
        <extend val="0"/>
        <outline val="0"/>
        <shadow val="0"/>
        <u val="none"/>
        <vertAlign val="baseline"/>
        <sz val="11"/>
        <color theme="1"/>
        <name val="Calibri"/>
        <family val="2"/>
        <scheme val="minor"/>
      </font>
      <fill>
        <patternFill patternType="solid">
          <fgColor indexed="64"/>
          <bgColor theme="0"/>
        </patternFill>
      </fill>
    </dxf>
    <dxf>
      <font>
        <b val="0"/>
        <i val="0"/>
        <strike val="0"/>
        <condense val="0"/>
        <extend val="0"/>
        <outline val="0"/>
        <shadow val="0"/>
        <u val="none"/>
        <vertAlign val="baseline"/>
        <sz val="11"/>
        <color theme="1"/>
        <name val="Calibri"/>
        <family val="2"/>
        <scheme val="minor"/>
      </font>
      <fill>
        <patternFill patternType="solid">
          <fgColor indexed="64"/>
          <bgColor theme="0"/>
        </patternFill>
      </fill>
    </dxf>
    <dxf>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numFmt numFmtId="166" formatCode="_([$$-409]* #,##0_);_([$$-409]* \(#,##0\);_([$$-409]* &quot;-&quot;_);_(@_)"/>
      <fill>
        <patternFill patternType="solid">
          <fgColor indexed="64"/>
          <bgColor theme="0"/>
        </patternFill>
      </fill>
    </dxf>
    <dxf>
      <font>
        <b val="0"/>
        <i val="0"/>
        <strike val="0"/>
        <condense val="0"/>
        <extend val="0"/>
        <outline val="0"/>
        <shadow val="0"/>
        <u val="none"/>
        <vertAlign val="baseline"/>
        <sz val="11"/>
        <color theme="1"/>
        <name val="Calibri"/>
        <family val="2"/>
        <scheme val="minor"/>
      </font>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numFmt numFmtId="167" formatCode="_-[$$-1009]* #,##0.00_-;\-[$$-1009]* #,##0.00_-;_-[$$-1009]* &quot;-&quot;??_-;_-@_-"/>
      <fill>
        <patternFill patternType="solid">
          <fgColor indexed="64"/>
          <bgColor theme="0"/>
        </patternFill>
      </fill>
    </dxf>
    <dxf>
      <fill>
        <patternFill patternType="solid">
          <fgColor indexed="64"/>
          <bgColor theme="0"/>
        </patternFill>
      </fill>
    </dxf>
    <dxf>
      <font>
        <strike val="0"/>
        <outline val="0"/>
        <shadow val="0"/>
        <u val="none"/>
        <vertAlign val="baseline"/>
        <sz val="11"/>
        <color auto="1"/>
        <name val="Calibri"/>
        <family val="2"/>
        <scheme val="minor"/>
      </font>
    </dxf>
    <dxf>
      <font>
        <b val="0"/>
        <i val="0"/>
        <strike val="0"/>
        <condense val="0"/>
        <extend val="0"/>
        <outline val="0"/>
        <shadow val="0"/>
        <u val="none"/>
        <vertAlign val="baseline"/>
        <sz val="11"/>
        <color rgb="FF000000"/>
        <name val="Calibri"/>
        <family val="2"/>
        <scheme val="none"/>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numFmt numFmtId="167" formatCode="_-[$$-1009]* #,##0.00_-;\-[$$-1009]* #,##0.00_-;_-[$$-1009]* &quot;-&quot;??_-;_-@_-"/>
    </dxf>
    <dxf>
      <numFmt numFmtId="167" formatCode="_-[$$-1009]* #,##0.00_-;\-[$$-1009]* #,##0.00_-;_-[$$-1009]* &quot;-&quot;??_-;_-@_-"/>
    </dxf>
    <dxf>
      <numFmt numFmtId="3" formatCode="#,##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theme="0"/>
        </patternFill>
      </fill>
    </dxf>
    <dxf>
      <numFmt numFmtId="167" formatCode="_-[$$-1009]* #,##0.00_-;\-[$$-1009]* #,##0.00_-;_-[$$-1009]*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35" formatCode="_-* #,##0.00_-;\-* #,##0.00_-;_-* &quot;-&quot;??_-;_-@_-"/>
    </dxf>
    <dxf>
      <numFmt numFmtId="169" formatCode="_-* #,##0_-;\-* #,##0_-;_-* &quot;-&quot;??_-;_-@_-"/>
    </dxf>
    <dxf>
      <numFmt numFmtId="1" formatCode="0"/>
    </dxf>
    <dxf>
      <numFmt numFmtId="1" formatCode="0"/>
    </dxf>
    <dxf>
      <numFmt numFmtId="2" formatCode="0.00"/>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2" formatCode="0.00"/>
    </dxf>
    <dxf>
      <numFmt numFmtId="2" formatCode="0.00"/>
    </dxf>
    <dxf>
      <numFmt numFmtId="169" formatCode="_-* #,##0_-;\-* #,##0_-;_-* &quot;-&quot;??_-;_-@_-"/>
    </dxf>
    <dxf>
      <numFmt numFmtId="14" formatCode="0.00%"/>
    </dxf>
    <dxf>
      <numFmt numFmtId="169" formatCode="_-* #,##0_-;\-* #,##0_-;_-* &quot;-&quot;??_-;_-@_-"/>
    </dxf>
    <dxf>
      <numFmt numFmtId="169" formatCode="_-* #,##0_-;\-* #,##0_-;_-* &quot;-&quot;??_-;_-@_-"/>
    </dxf>
    <dxf>
      <numFmt numFmtId="2" formatCode="0.0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border outline="0">
        <top style="medium">
          <color theme="1"/>
        </top>
      </border>
    </dxf>
    <dxf>
      <border outline="0">
        <bottom style="medium">
          <color theme="1"/>
        </bottom>
      </border>
    </dxf>
    <dxf>
      <font>
        <b/>
        <i val="0"/>
        <strike val="0"/>
        <condense val="0"/>
        <extend val="0"/>
        <outline val="0"/>
        <shadow val="0"/>
        <u val="none"/>
        <vertAlign val="baseline"/>
        <sz val="11"/>
        <color auto="1"/>
        <name val="Calibri"/>
        <family val="2"/>
        <scheme val="minor"/>
      </font>
      <fill>
        <patternFill patternType="solid">
          <fgColor theme="7"/>
          <bgColor theme="7"/>
        </patternFill>
      </fill>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 formatCode="0"/>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 formatCode="0"/>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3" formatCode="0%"/>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4" formatCode="0.00%"/>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border outline="0">
        <top style="medium">
          <color theme="1"/>
        </top>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border outline="0">
        <bottom style="medium">
          <color theme="1"/>
        </bottom>
      </border>
    </dxf>
    <dxf>
      <font>
        <b/>
        <i val="0"/>
        <strike val="0"/>
        <condense val="0"/>
        <extend val="0"/>
        <outline val="0"/>
        <shadow val="0"/>
        <u val="none"/>
        <vertAlign val="baseline"/>
        <sz val="11"/>
        <color auto="1"/>
        <name val="Calibri"/>
        <family val="2"/>
        <scheme val="minor"/>
      </font>
      <fill>
        <patternFill patternType="solid">
          <fgColor theme="7"/>
          <bgColor theme="7"/>
        </patternFill>
      </fill>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0"/>
        <color rgb="FF0000FF"/>
        <name val="Arial"/>
        <family val="2"/>
        <scheme val="none"/>
      </font>
      <numFmt numFmtId="7" formatCode="#,##0.00;\-#,##0.00"/>
      <fill>
        <patternFill patternType="solid">
          <fgColor indexed="64"/>
          <bgColor rgb="FFF2F2F2"/>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0"/>
        <color rgb="FF0000FF"/>
        <name val="Arial"/>
        <family val="2"/>
        <scheme val="none"/>
      </font>
      <numFmt numFmtId="5" formatCode="#,##0;\-#,##0"/>
      <fill>
        <patternFill patternType="solid">
          <fgColor indexed="64"/>
          <bgColor rgb="FFF2F2F2"/>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35" formatCode="_-* #,##0.00_-;\-* #,##0.0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0"/>
        <color rgb="FF0000FF"/>
        <name val="Arial"/>
        <family val="2"/>
        <scheme val="none"/>
      </font>
      <numFmt numFmtId="5" formatCode="#,##0;\-#,##0"/>
      <fill>
        <patternFill patternType="solid">
          <fgColor indexed="64"/>
          <bgColor rgb="FFF2F2F2"/>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rgb="FF0000FF"/>
        <name val="Arial"/>
        <family val="2"/>
        <scheme val="none"/>
      </font>
      <numFmt numFmtId="5" formatCode="#,##0;\-#,##0"/>
      <fill>
        <patternFill patternType="solid">
          <fgColor indexed="64"/>
          <bgColor rgb="FFF2F2F2"/>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rgb="FF0000FF"/>
        <name val="Arial"/>
        <family val="2"/>
        <scheme val="none"/>
      </font>
      <numFmt numFmtId="5" formatCode="#,##0;\-#,##0"/>
      <fill>
        <patternFill patternType="solid">
          <fgColor indexed="64"/>
          <bgColor rgb="FFF2F2F2"/>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0"/>
        <color rgb="FF0000FF"/>
        <name val="Arial"/>
        <family val="2"/>
        <scheme val="none"/>
      </font>
      <numFmt numFmtId="5" formatCode="#,##0;\-#,##0"/>
      <fill>
        <patternFill patternType="solid">
          <fgColor indexed="64"/>
          <bgColor rgb="FFF2F2F2"/>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rgb="FF0000FF"/>
        <name val="Arial"/>
        <family val="2"/>
        <scheme val="none"/>
      </font>
      <numFmt numFmtId="5" formatCode="#,##0;\-#,##0"/>
      <fill>
        <patternFill patternType="solid">
          <fgColor indexed="64"/>
          <bgColor rgb="FFF2F2F2"/>
        </patternFill>
      </fill>
      <alignment horizontal="right" vertical="center" textRotation="0" wrapText="0" indent="0" justifyLastLine="0" shrinkToFit="0" readingOrder="0"/>
      <protection locked="0" hidden="0"/>
    </dxf>
    <dxf>
      <numFmt numFmtId="167" formatCode="_-[$$-1009]* #,##0.00_-;\-[$$-1009]* #,##0.00_-;_-[$$-1009]* &quot;-&quot;??_-;_-@_-"/>
    </dxf>
    <dxf>
      <numFmt numFmtId="167" formatCode="_-[$$-1009]* #,##0.00_-;\-[$$-1009]* #,##0.00_-;_-[$$-1009]* &quot;-&quot;??_-;_-@_-"/>
    </dxf>
    <dxf>
      <numFmt numFmtId="3" formatCode="#,##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theme="0"/>
        </patternFill>
      </fill>
    </dxf>
    <dxf>
      <numFmt numFmtId="167" formatCode="_-[$$-1009]* #,##0.00_-;\-[$$-1009]* #,##0.00_-;_-[$$-1009]*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9" formatCode="_-* #,##0_-;\-* #,##0_-;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9" formatCode="_-* #,##0_-;\-* #,##0_-;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9" formatCode="_-* #,##0_-;\-* #,##0_-;_-* &quot;-&quot;??_-;_-@_-"/>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9" formatCode="_-* #,##0_-;\-* #,##0_-;_-* &quot;-&quot;??_-;_-@_-"/>
      <border diagonalUp="0" diagonalDown="0">
        <left/>
        <right/>
        <top style="thin">
          <color theme="4" tint="0.39997558519241921"/>
        </top>
        <bottom style="thin">
          <color theme="4" tint="0.39997558519241921"/>
        </bottom>
        <vertical/>
        <horizontal/>
      </border>
    </dxf>
    <dxf>
      <border outline="0">
        <left style="thin">
          <color theme="4" tint="0.39997558519241921"/>
        </left>
        <top style="medium">
          <color theme="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indexed="64"/>
          <bgColor theme="0"/>
        </patternFill>
      </fill>
      <border diagonalUp="0" diagonalDown="0" outline="0">
        <left/>
        <right/>
        <top style="thin">
          <color theme="4" tint="0.39997558519241921"/>
        </top>
        <bottom style="thin">
          <color theme="4" tint="0.39997558519241921"/>
        </bottom>
      </border>
    </dxf>
    <dxf>
      <border outline="0">
        <left style="thin">
          <color theme="4" tint="0.39997558519241921"/>
        </left>
      </border>
    </dxf>
    <dxf>
      <numFmt numFmtId="169" formatCode="_-* #,##0_-;\-* #,##0_-;_-* &quot;-&quot;??_-;_-@_-"/>
      <fill>
        <patternFill patternType="solid">
          <fgColor indexed="64"/>
          <bgColor theme="0"/>
        </patternFill>
      </fill>
    </dxf>
    <dxf>
      <numFmt numFmtId="169" formatCode="_-* #,##0_-;\-* #,##0_-;_-* &quot;-&quot;??_-;_-@_-"/>
      <fill>
        <patternFill patternType="solid">
          <fgColor indexed="64"/>
          <bgColor theme="0"/>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indexed="64"/>
          <bgColor theme="0"/>
        </patternFill>
      </fill>
      <border diagonalUp="0" diagonalDown="0" outline="0">
        <left/>
        <right/>
        <top style="thin">
          <color theme="4" tint="0.39997558519241921"/>
        </top>
        <bottom style="thin">
          <color theme="4" tint="0.39997558519241921"/>
        </bottom>
      </border>
    </dxf>
    <dxf>
      <border outline="0">
        <left style="thin">
          <color theme="4" tint="0.39997558519241921"/>
        </left>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numFmt numFmtId="169" formatCode="_-* #,##0_-;\-* #,##0_-;_-* &quot;-&quot;??_-;_-@_-"/>
      <fill>
        <patternFill patternType="solid">
          <fgColor indexed="64"/>
          <bgColor theme="0"/>
        </patternFill>
      </fill>
    </dxf>
    <dxf>
      <border outline="0">
        <top style="medium">
          <color theme="1"/>
        </top>
      </border>
    </dxf>
    <dxf>
      <border outline="0">
        <bottom style="medium">
          <color theme="1"/>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35" formatCode="_-* #,##0.00_-;\-* #,##0.00_-;_-* &quot;-&quot;??_-;_-@_-"/>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35" formatCode="_-* #,##0.00_-;\-* #,##0.00_-;_-* &quot;-&quot;??_-;_-@_-"/>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35" formatCode="_-* #,##0.00_-;\-* #,##0.00_-;_-* &quot;-&quot;??_-;_-@_-"/>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35" formatCode="_-* #,##0.00_-;\-* #,##0.00_-;_-* &quot;-&quot;??_-;_-@_-"/>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169" formatCode="_-* #,##0_-;\-* #,##0_-;_-* &quot;-&quot;??_-;_-@_-"/>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numFmt numFmtId="169" formatCode="_-* #,##0_-;\-* #,##0_-;_-* &quot;-&quot;??_-;_-@_-"/>
      <fill>
        <patternFill patternType="solid">
          <fgColor theme="0" tint="-0.14999847407452621"/>
          <bgColor theme="0" tint="-0.14999847407452621"/>
        </patternFill>
      </fill>
    </dxf>
    <dxf>
      <border outline="0">
        <top style="medium">
          <color theme="1"/>
        </top>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border outline="0">
        <bottom style="medium">
          <color theme="1"/>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auto="1"/>
        <name val="Calibri"/>
        <family val="2"/>
        <scheme val="minor"/>
      </font>
      <fill>
        <patternFill patternType="solid">
          <fgColor indexed="64"/>
          <bgColor theme="0"/>
        </patternFill>
      </fill>
    </dxf>
    <dxf>
      <font>
        <b val="0"/>
        <i val="0"/>
        <strike val="0"/>
        <condense val="0"/>
        <extend val="0"/>
        <outline val="0"/>
        <shadow val="0"/>
        <u val="none"/>
        <vertAlign val="baseline"/>
        <sz val="11"/>
        <color auto="1"/>
        <name val="Calibri"/>
        <family val="2"/>
        <scheme val="minor"/>
      </font>
      <numFmt numFmtId="167" formatCode="_-[$$-1009]* #,##0.00_-;\-[$$-1009]* #,##0.00_-;_-[$$-1009]* &quot;-&quot;??_-;_-@_-"/>
      <fill>
        <patternFill patternType="solid">
          <fgColor indexed="64"/>
          <bgColor theme="0"/>
        </patternFill>
      </fill>
    </dxf>
    <dxf>
      <font>
        <b val="0"/>
        <i val="0"/>
        <strike val="0"/>
        <condense val="0"/>
        <extend val="0"/>
        <outline val="0"/>
        <shadow val="0"/>
        <u val="none"/>
        <vertAlign val="baseline"/>
        <sz val="11"/>
        <color auto="1"/>
        <name val="Calibri"/>
        <family val="2"/>
        <scheme val="minor"/>
      </font>
      <numFmt numFmtId="167" formatCode="_-[$$-1009]* #,##0.00_-;\-[$$-1009]* #,##0.00_-;_-[$$-1009]* &quot;-&quot;??_-;_-@_-"/>
      <fill>
        <patternFill patternType="solid">
          <fgColor indexed="64"/>
          <bgColor theme="0"/>
        </patternFill>
      </fill>
    </dxf>
    <dxf>
      <font>
        <strike val="0"/>
        <outline val="0"/>
        <shadow val="0"/>
        <u val="none"/>
        <vertAlign val="baseline"/>
        <sz val="11"/>
        <color auto="1"/>
        <name val="Calibri"/>
        <family val="2"/>
        <scheme val="minor"/>
      </font>
      <fill>
        <patternFill patternType="solid">
          <fgColor indexed="64"/>
          <bgColor theme="0"/>
        </patternFill>
      </fill>
    </dxf>
    <dxf>
      <numFmt numFmtId="2" formatCode="0.00"/>
      <fill>
        <patternFill patternType="solid">
          <fgColor indexed="64"/>
          <bgColor theme="0"/>
        </patternFill>
      </fill>
    </dxf>
    <dxf>
      <font>
        <color auto="1"/>
      </font>
      <fill>
        <patternFill patternType="solid">
          <fgColor indexed="64"/>
          <bgColor theme="0"/>
        </patternFill>
      </fill>
    </dxf>
    <dxf>
      <font>
        <strike val="0"/>
        <outline val="0"/>
        <shadow val="0"/>
        <u val="none"/>
        <vertAlign val="baseline"/>
        <sz val="11"/>
        <color auto="1"/>
        <name val="Calibri"/>
        <family val="2"/>
        <scheme val="minor"/>
      </font>
    </dxf>
    <dxf>
      <font>
        <b/>
        <i val="0"/>
        <strike val="0"/>
        <condense val="0"/>
        <extend val="0"/>
        <outline val="0"/>
        <shadow val="0"/>
        <u val="none"/>
        <vertAlign val="baseline"/>
        <sz val="8"/>
        <color theme="1"/>
        <name val="Calibri"/>
        <family val="2"/>
        <scheme val="minor"/>
      </font>
      <numFmt numFmtId="1" formatCode="0"/>
      <fill>
        <patternFill patternType="solid">
          <fgColor indexed="64"/>
          <bgColor theme="0"/>
        </patternFill>
      </fill>
      <alignment horizontal="general" vertical="center" textRotation="0" wrapText="0" indent="0" justifyLastLine="0" shrinkToFit="0" readingOrder="0"/>
    </dxf>
    <dxf>
      <font>
        <b/>
        <i val="0"/>
        <strike val="0"/>
        <condense val="0"/>
        <extend val="0"/>
        <outline val="0"/>
        <shadow val="0"/>
        <u val="none"/>
        <vertAlign val="baseline"/>
        <sz val="8"/>
        <color theme="1"/>
        <name val="Calibri"/>
        <family val="2"/>
        <scheme val="minor"/>
      </font>
      <numFmt numFmtId="1" formatCode="0"/>
      <fill>
        <patternFill patternType="solid">
          <fgColor indexed="64"/>
          <bgColor theme="0"/>
        </patternFill>
      </fill>
      <alignment horizontal="general" vertical="center" textRotation="0" wrapText="0" indent="0" justifyLastLine="0" shrinkToFit="0" readingOrder="0"/>
    </dxf>
    <dxf>
      <font>
        <b/>
        <i val="0"/>
        <strike val="0"/>
        <condense val="0"/>
        <extend val="0"/>
        <outline val="0"/>
        <shadow val="0"/>
        <u val="none"/>
        <vertAlign val="baseline"/>
        <sz val="8"/>
        <color theme="1"/>
        <name val="Calibri"/>
        <family val="2"/>
        <scheme val="minor"/>
      </font>
      <numFmt numFmtId="169" formatCode="_-* #,##0_-;\-* #,##0_-;_-* &quot;-&quot;??_-;_-@_-"/>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dxf>
    <dxf>
      <font>
        <b/>
        <i val="0"/>
        <strike val="0"/>
        <condense val="0"/>
        <extend val="0"/>
        <outline val="0"/>
        <shadow val="0"/>
        <u val="none"/>
        <vertAlign val="baseline"/>
        <sz val="8"/>
        <color theme="1"/>
        <name val="Calibri"/>
        <family val="2"/>
        <scheme val="minor"/>
      </font>
      <fill>
        <patternFill patternType="solid">
          <fgColor indexed="64"/>
          <bgColor theme="0"/>
        </patternFill>
      </fill>
      <alignment horizontal="left"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8"/>
        <color auto="1"/>
        <name val="Calibri"/>
        <family val="2"/>
        <scheme val="minor"/>
      </font>
      <fill>
        <patternFill patternType="solid">
          <fgColor indexed="64"/>
          <bgColor theme="0"/>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Calibri"/>
        <family val="2"/>
        <scheme val="minor"/>
      </font>
      <numFmt numFmtId="171" formatCode="_-&quot;$&quot;* #,##0_-;\-&quot;$&quot;* #,##0_-;_-&quot;$&quot;* &quot;-&quot;??_-;_-@_-"/>
      <fill>
        <patternFill patternType="solid">
          <fgColor indexed="64"/>
          <bgColor theme="0"/>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8"/>
        <color theme="1"/>
        <name val="Calibri"/>
        <family val="2"/>
        <scheme val="minor"/>
      </font>
      <numFmt numFmtId="169" formatCode="_-* #,##0_-;\-* #,##0_-;_-* &quot;-&quot;??_-;_-@_-"/>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dxf>
    <dxf>
      <font>
        <b/>
        <i val="0"/>
        <strike val="0"/>
        <condense val="0"/>
        <extend val="0"/>
        <outline val="0"/>
        <shadow val="0"/>
        <u val="none"/>
        <vertAlign val="baseline"/>
        <sz val="8"/>
        <color theme="1"/>
        <name val="Calibri"/>
        <family val="2"/>
        <scheme val="minor"/>
      </font>
      <fill>
        <patternFill patternType="solid">
          <fgColor indexed="64"/>
          <bgColor theme="0"/>
        </patternFill>
      </fill>
      <alignment horizontal="left"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8"/>
        <color auto="1"/>
        <name val="Calibri"/>
        <family val="2"/>
        <scheme val="minor"/>
      </font>
      <fill>
        <patternFill patternType="solid">
          <fgColor indexed="64"/>
          <bgColor theme="0"/>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Calibri"/>
        <family val="2"/>
        <scheme val="minor"/>
      </font>
      <numFmt numFmtId="171" formatCode="_-&quot;$&quot;* #,##0_-;\-&quot;$&quot;* #,##0_-;_-&quot;$&quot;* &quot;-&quot;??_-;_-@_-"/>
      <fill>
        <patternFill patternType="solid">
          <fgColor indexed="64"/>
          <bgColor theme="0"/>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8"/>
        <color theme="1"/>
        <name val="Calibri"/>
        <family val="2"/>
        <scheme val="minor"/>
      </font>
      <numFmt numFmtId="169" formatCode="_-* #,##0_-;\-* #,##0_-;_-* &quot;-&quot;??_-;_-@_-"/>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dxf>
    <dxf>
      <font>
        <b/>
        <i val="0"/>
        <strike val="0"/>
        <condense val="0"/>
        <extend val="0"/>
        <outline val="0"/>
        <shadow val="0"/>
        <u val="none"/>
        <vertAlign val="baseline"/>
        <sz val="8"/>
        <color theme="1"/>
        <name val="Calibri"/>
        <family val="2"/>
        <scheme val="minor"/>
      </font>
      <fill>
        <patternFill patternType="solid">
          <fgColor indexed="64"/>
          <bgColor theme="0"/>
        </patternFill>
      </fill>
      <alignment horizontal="left"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8"/>
        <color auto="1"/>
        <name val="Calibri"/>
        <family val="2"/>
        <scheme val="minor"/>
      </font>
      <fill>
        <patternFill patternType="solid">
          <fgColor indexed="64"/>
          <bgColor theme="0"/>
        </patternFill>
      </fill>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39" Type="http://schemas.microsoft.com/office/2017/06/relationships/rdSupportingPropertyBag" Target="richData/rdsupportingpropertybag.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openxmlformats.org/officeDocument/2006/relationships/sharedStrings" Target="sharedStrings.xml"/><Relationship Id="rId38"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6.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styles" Target="styles.xml"/><Relationship Id="rId37" Type="http://schemas.microsoft.com/office/2017/06/relationships/richStyles" Target="richData/richStyles.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5.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4.xml"/><Relationship Id="rId30" Type="http://schemas.microsoft.com/office/2007/relationships/slicerCache" Target="slicerCaches/slicerCache7.xml"/><Relationship Id="rId35" Type="http://schemas.microsoft.com/office/2017/06/relationships/rdRichValue" Target="richData/rdrichvalue.xml"/><Relationship Id="rId43"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dk1"/>
                </a:solidFill>
                <a:latin typeface="+mn-lt"/>
                <a:ea typeface="+mn-ea"/>
                <a:cs typeface="+mn-cs"/>
              </a:defRPr>
            </a:pPr>
            <a:r>
              <a:rPr lang="en-CA"/>
              <a:t>Cash Ratio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dk1"/>
              </a:solidFill>
              <a:latin typeface="+mn-lt"/>
              <a:ea typeface="+mn-ea"/>
              <a:cs typeface="+mn-cs"/>
            </a:defRPr>
          </a:pPr>
          <a:endParaRPr lang="en-US"/>
        </a:p>
      </c:txPr>
    </c:title>
    <c:autoTitleDeleted val="0"/>
    <c:plotArea>
      <c:layout/>
      <c:barChart>
        <c:barDir val="col"/>
        <c:grouping val="clustered"/>
        <c:varyColors val="0"/>
        <c:ser>
          <c:idx val="0"/>
          <c:order val="0"/>
          <c:tx>
            <c:strRef>
              <c:f>'DS Tables'!$D$3</c:f>
              <c:strCache>
                <c:ptCount val="1"/>
                <c:pt idx="0">
                  <c:v>Cash Ratio</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'DS Tables'!$A$4:$A$32</c:f>
              <c:strCache>
                <c:ptCount val="5"/>
                <c:pt idx="0">
                  <c:v> Franco-Nevada Corp (XTSE:FNV) </c:v>
                </c:pt>
                <c:pt idx="1">
                  <c:v> Barrick Gold Corp (XTSE:ABX) </c:v>
                </c:pt>
                <c:pt idx="2">
                  <c:v> Newmont Corporation (XTSE:NGT) </c:v>
                </c:pt>
                <c:pt idx="3">
                  <c:v> Kirkland Lake Gold Ltd (XTSE:KL) </c:v>
                </c:pt>
                <c:pt idx="4">
                  <c:v> Agnico Eagle Mines Ltd (XTSE:AEM) </c:v>
                </c:pt>
              </c:strCache>
            </c:strRef>
          </c:cat>
          <c:val>
            <c:numRef>
              <c:f>'DS Tables'!$D$4:$D$32</c:f>
              <c:numCache>
                <c:formatCode>_(* #,##0.00_);_(* \(#,##0.00\);_(* "-"??_);_(@_)</c:formatCode>
                <c:ptCount val="5"/>
                <c:pt idx="0">
                  <c:v>2.4905660377358489</c:v>
                </c:pt>
                <c:pt idx="1">
                  <c:v>1.3947811447811447</c:v>
                </c:pt>
                <c:pt idx="2">
                  <c:v>1.0398322851153039</c:v>
                </c:pt>
                <c:pt idx="3">
                  <c:v>1.6954436450839327</c:v>
                </c:pt>
                <c:pt idx="4">
                  <c:v>0.41494845360824745</c:v>
                </c:pt>
              </c:numCache>
            </c:numRef>
          </c:val>
          <c:extLst>
            <c:ext xmlns:c16="http://schemas.microsoft.com/office/drawing/2014/chart" uri="{C3380CC4-5D6E-409C-BE32-E72D297353CC}">
              <c16:uniqueId val="{00000000-1DBA-4ECC-B8C7-8AC7DFFD06A9}"/>
            </c:ext>
          </c:extLst>
        </c:ser>
        <c:dLbls>
          <c:dLblPos val="outEnd"/>
          <c:showLegendKey val="0"/>
          <c:showVal val="1"/>
          <c:showCatName val="0"/>
          <c:showSerName val="0"/>
          <c:showPercent val="0"/>
          <c:showBubbleSize val="0"/>
        </c:dLbls>
        <c:gapWidth val="444"/>
        <c:axId val="851695592"/>
        <c:axId val="851693624"/>
      </c:barChart>
      <c:lineChart>
        <c:grouping val="standard"/>
        <c:varyColors val="0"/>
        <c:ser>
          <c:idx val="1"/>
          <c:order val="1"/>
          <c:tx>
            <c:strRef>
              <c:f>'DS Tables'!$H$3</c:f>
              <c:strCache>
                <c:ptCount val="1"/>
                <c:pt idx="0">
                  <c:v>Cash Ratio Average</c:v>
                </c:pt>
              </c:strCache>
            </c:strRef>
          </c:tx>
          <c:spPr>
            <a:ln w="22225" cap="rnd">
              <a:solidFill>
                <a:schemeClr val="accent2"/>
              </a:solidFill>
              <a:round/>
            </a:ln>
            <a:effectLst/>
          </c:spPr>
          <c:marker>
            <c:symbol val="none"/>
          </c:marker>
          <c:val>
            <c:numRef>
              <c:f>'DS Tables'!$H$4:$H$32</c:f>
              <c:numCache>
                <c:formatCode>_(* #,##0.00_);_(* \(#,##0.00\);_(* "-"??_);_(@_)</c:formatCode>
                <c:ptCount val="5"/>
                <c:pt idx="0">
                  <c:v>1.4071143132648956</c:v>
                </c:pt>
                <c:pt idx="1">
                  <c:v>1.4071143132648956</c:v>
                </c:pt>
                <c:pt idx="2">
                  <c:v>1.4071143132648956</c:v>
                </c:pt>
                <c:pt idx="3">
                  <c:v>1.4071143132648956</c:v>
                </c:pt>
                <c:pt idx="4">
                  <c:v>1.4071143132648956</c:v>
                </c:pt>
              </c:numCache>
            </c:numRef>
          </c:val>
          <c:smooth val="0"/>
          <c:extLst>
            <c:ext xmlns:c16="http://schemas.microsoft.com/office/drawing/2014/chart" uri="{C3380CC4-5D6E-409C-BE32-E72D297353CC}">
              <c16:uniqueId val="{00000001-1DBA-4ECC-B8C7-8AC7DFFD06A9}"/>
            </c:ext>
          </c:extLst>
        </c:ser>
        <c:dLbls>
          <c:showLegendKey val="0"/>
          <c:showVal val="0"/>
          <c:showCatName val="0"/>
          <c:showSerName val="0"/>
          <c:showPercent val="0"/>
          <c:showBubbleSize val="0"/>
        </c:dLbls>
        <c:marker val="1"/>
        <c:smooth val="0"/>
        <c:axId val="851695592"/>
        <c:axId val="851693624"/>
      </c:lineChart>
      <c:catAx>
        <c:axId val="851695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CA"/>
                  <a:t>Company</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cap="all" spc="120" normalizeH="0" baseline="0">
                <a:solidFill>
                  <a:schemeClr val="dk1"/>
                </a:solidFill>
                <a:latin typeface="+mn-lt"/>
                <a:ea typeface="+mn-ea"/>
                <a:cs typeface="+mn-cs"/>
              </a:defRPr>
            </a:pPr>
            <a:endParaRPr lang="en-US"/>
          </a:p>
        </c:txPr>
        <c:crossAx val="851693624"/>
        <c:crosses val="autoZero"/>
        <c:auto val="1"/>
        <c:lblAlgn val="ctr"/>
        <c:lblOffset val="100"/>
        <c:noMultiLvlLbl val="0"/>
      </c:catAx>
      <c:valAx>
        <c:axId val="851693624"/>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CA"/>
                  <a:t>Current Ratio = Cash &amp; Cash Equivalent/Current Liabilities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_(* #,##0.00_);_(* \(#,##0.00\);_(* &quot;-&quot;??_);_(@_)" sourceLinked="1"/>
        <c:majorTickMark val="none"/>
        <c:minorTickMark val="none"/>
        <c:tickLblPos val="nextTo"/>
        <c:crossAx val="851695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dk1"/>
                </a:solidFill>
                <a:latin typeface="+mn-lt"/>
                <a:ea typeface="+mn-ea"/>
                <a:cs typeface="+mn-cs"/>
              </a:defRPr>
            </a:pPr>
            <a:r>
              <a:rPr lang="en-CA"/>
              <a:t>Current Ratio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dk1"/>
              </a:solidFill>
              <a:latin typeface="+mn-lt"/>
              <a:ea typeface="+mn-ea"/>
              <a:cs typeface="+mn-cs"/>
            </a:defRPr>
          </a:pPr>
          <a:endParaRPr lang="en-US"/>
        </a:p>
      </c:txPr>
    </c:title>
    <c:autoTitleDeleted val="0"/>
    <c:plotArea>
      <c:layout/>
      <c:barChart>
        <c:barDir val="col"/>
        <c:grouping val="clustered"/>
        <c:varyColors val="0"/>
        <c:ser>
          <c:idx val="0"/>
          <c:order val="0"/>
          <c:tx>
            <c:strRef>
              <c:f>'DS Tables'!$C$3</c:f>
              <c:strCache>
                <c:ptCount val="1"/>
                <c:pt idx="0">
                  <c:v>Current Ratio</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'DS Tables'!$A$4:$A$32</c:f>
              <c:strCache>
                <c:ptCount val="5"/>
                <c:pt idx="0">
                  <c:v> Franco-Nevada Corp (XTSE:FNV) </c:v>
                </c:pt>
                <c:pt idx="1">
                  <c:v> Barrick Gold Corp (XTSE:ABX) </c:v>
                </c:pt>
                <c:pt idx="2">
                  <c:v> Newmont Corporation (XTSE:NGT) </c:v>
                </c:pt>
                <c:pt idx="3">
                  <c:v> Kirkland Lake Gold Ltd (XTSE:KL) </c:v>
                </c:pt>
                <c:pt idx="4">
                  <c:v> Agnico Eagle Mines Ltd (XTSE:AEM) </c:v>
                </c:pt>
              </c:strCache>
            </c:strRef>
          </c:cat>
          <c:val>
            <c:numRef>
              <c:f>'DS Tables'!$C$4:$C$32</c:f>
              <c:numCache>
                <c:formatCode>_(* #,##0.00_);_(* \(#,##0.00\);_(* "-"??_);_(@_)</c:formatCode>
                <c:ptCount val="5"/>
                <c:pt idx="0">
                  <c:v>5.2641509433962268</c:v>
                </c:pt>
                <c:pt idx="1">
                  <c:v>2.8985690235690234</c:v>
                </c:pt>
                <c:pt idx="2">
                  <c:v>2.629769392033543</c:v>
                </c:pt>
                <c:pt idx="3">
                  <c:v>1.9064748201438848</c:v>
                </c:pt>
                <c:pt idx="4">
                  <c:v>1.5386597938144331</c:v>
                </c:pt>
              </c:numCache>
            </c:numRef>
          </c:val>
          <c:extLst>
            <c:ext xmlns:c16="http://schemas.microsoft.com/office/drawing/2014/chart" uri="{C3380CC4-5D6E-409C-BE32-E72D297353CC}">
              <c16:uniqueId val="{00000000-D15B-4E8C-8B07-661C1F67E405}"/>
            </c:ext>
          </c:extLst>
        </c:ser>
        <c:dLbls>
          <c:dLblPos val="outEnd"/>
          <c:showLegendKey val="0"/>
          <c:showVal val="1"/>
          <c:showCatName val="0"/>
          <c:showSerName val="0"/>
          <c:showPercent val="0"/>
          <c:showBubbleSize val="0"/>
        </c:dLbls>
        <c:gapWidth val="444"/>
        <c:axId val="851695592"/>
        <c:axId val="851693624"/>
      </c:barChart>
      <c:lineChart>
        <c:grouping val="standard"/>
        <c:varyColors val="0"/>
        <c:ser>
          <c:idx val="1"/>
          <c:order val="1"/>
          <c:tx>
            <c:strRef>
              <c:f>'DS Tables'!$G$3</c:f>
              <c:strCache>
                <c:ptCount val="1"/>
                <c:pt idx="0">
                  <c:v>Current Ratio Average</c:v>
                </c:pt>
              </c:strCache>
            </c:strRef>
          </c:tx>
          <c:spPr>
            <a:ln w="22225" cap="rnd">
              <a:solidFill>
                <a:schemeClr val="accent2"/>
              </a:solidFill>
              <a:round/>
            </a:ln>
            <a:effectLst/>
          </c:spPr>
          <c:marker>
            <c:symbol val="none"/>
          </c:marker>
          <c:val>
            <c:numRef>
              <c:f>'DS Tables'!$G$4:$G$32</c:f>
              <c:numCache>
                <c:formatCode>_(* #,##0.00_);_(* \(#,##0.00\);_(* "-"??_);_(@_)</c:formatCode>
                <c:ptCount val="5"/>
                <c:pt idx="0">
                  <c:v>2.8475247945914224</c:v>
                </c:pt>
                <c:pt idx="1">
                  <c:v>2.8475247945914224</c:v>
                </c:pt>
                <c:pt idx="2">
                  <c:v>2.8475247945914224</c:v>
                </c:pt>
                <c:pt idx="3">
                  <c:v>2.8475247945914224</c:v>
                </c:pt>
                <c:pt idx="4">
                  <c:v>2.8475247945914224</c:v>
                </c:pt>
              </c:numCache>
            </c:numRef>
          </c:val>
          <c:smooth val="0"/>
          <c:extLst>
            <c:ext xmlns:c16="http://schemas.microsoft.com/office/drawing/2014/chart" uri="{C3380CC4-5D6E-409C-BE32-E72D297353CC}">
              <c16:uniqueId val="{00000001-D15B-4E8C-8B07-661C1F67E405}"/>
            </c:ext>
          </c:extLst>
        </c:ser>
        <c:dLbls>
          <c:showLegendKey val="0"/>
          <c:showVal val="0"/>
          <c:showCatName val="0"/>
          <c:showSerName val="0"/>
          <c:showPercent val="0"/>
          <c:showBubbleSize val="0"/>
        </c:dLbls>
        <c:marker val="1"/>
        <c:smooth val="0"/>
        <c:axId val="851695592"/>
        <c:axId val="851693624"/>
      </c:lineChart>
      <c:catAx>
        <c:axId val="851695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CA"/>
                  <a:t>Company</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cap="all" spc="120" normalizeH="0" baseline="0">
                <a:solidFill>
                  <a:schemeClr val="dk1"/>
                </a:solidFill>
                <a:latin typeface="+mn-lt"/>
                <a:ea typeface="+mn-ea"/>
                <a:cs typeface="+mn-cs"/>
              </a:defRPr>
            </a:pPr>
            <a:endParaRPr lang="en-US"/>
          </a:p>
        </c:txPr>
        <c:crossAx val="851693624"/>
        <c:crosses val="autoZero"/>
        <c:auto val="1"/>
        <c:lblAlgn val="ctr"/>
        <c:lblOffset val="100"/>
        <c:noMultiLvlLbl val="0"/>
      </c:catAx>
      <c:valAx>
        <c:axId val="851693624"/>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CA"/>
                  <a:t>Cash Rario = Current Assets/ Current Liabilities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_(* #,##0.00_);_(* \(#,##0.00\);_(* &quot;-&quot;??_);_(@_)" sourceLinked="1"/>
        <c:majorTickMark val="none"/>
        <c:minorTickMark val="none"/>
        <c:tickLblPos val="nextTo"/>
        <c:crossAx val="851695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dk1"/>
                </a:solidFill>
                <a:latin typeface="+mn-lt"/>
                <a:ea typeface="+mn-ea"/>
                <a:cs typeface="+mn-cs"/>
              </a:defRPr>
            </a:pPr>
            <a:r>
              <a:rPr lang="en-CA"/>
              <a:t>Debt-Equity</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dk1"/>
              </a:solidFill>
              <a:latin typeface="+mn-lt"/>
              <a:ea typeface="+mn-ea"/>
              <a:cs typeface="+mn-cs"/>
            </a:defRPr>
          </a:pPr>
          <a:endParaRPr lang="en-US"/>
        </a:p>
      </c:txPr>
    </c:title>
    <c:autoTitleDeleted val="0"/>
    <c:plotArea>
      <c:layout/>
      <c:barChart>
        <c:barDir val="col"/>
        <c:grouping val="clustered"/>
        <c:varyColors val="0"/>
        <c:ser>
          <c:idx val="0"/>
          <c:order val="0"/>
          <c:tx>
            <c:strRef>
              <c:f>'DS Tables'!$E$3</c:f>
              <c:strCache>
                <c:ptCount val="1"/>
                <c:pt idx="0">
                  <c:v>Debt-Equity</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'DS Tables'!$A$4:$A$32</c:f>
              <c:strCache>
                <c:ptCount val="5"/>
                <c:pt idx="0">
                  <c:v> Franco-Nevada Corp (XTSE:FNV) </c:v>
                </c:pt>
                <c:pt idx="1">
                  <c:v> Barrick Gold Corp (XTSE:ABX) </c:v>
                </c:pt>
                <c:pt idx="2">
                  <c:v> Newmont Corporation (XTSE:NGT) </c:v>
                </c:pt>
                <c:pt idx="3">
                  <c:v> Kirkland Lake Gold Ltd (XTSE:KL) </c:v>
                </c:pt>
                <c:pt idx="4">
                  <c:v> Agnico Eagle Mines Ltd (XTSE:AEM) </c:v>
                </c:pt>
              </c:strCache>
            </c:strRef>
          </c:cat>
          <c:val>
            <c:numRef>
              <c:f>'DS Tables'!$E$4:$E$32</c:f>
              <c:numCache>
                <c:formatCode>_(* #,##0.00_);_(* \(#,##0.00\);_(* "-"??_);_(@_)</c:formatCode>
                <c:ptCount val="5"/>
                <c:pt idx="0">
                  <c:v>4.3065981825365467E-2</c:v>
                </c:pt>
                <c:pt idx="1">
                  <c:v>1.0712952594251586</c:v>
                </c:pt>
                <c:pt idx="2">
                  <c:v>0.86619981325863682</c:v>
                </c:pt>
                <c:pt idx="3">
                  <c:v>0.40781507980187121</c:v>
                </c:pt>
                <c:pt idx="4">
                  <c:v>0.71948356807511737</c:v>
                </c:pt>
              </c:numCache>
            </c:numRef>
          </c:val>
          <c:extLst>
            <c:ext xmlns:c16="http://schemas.microsoft.com/office/drawing/2014/chart" uri="{C3380CC4-5D6E-409C-BE32-E72D297353CC}">
              <c16:uniqueId val="{00000000-DADF-47A0-A2C6-865C648F579B}"/>
            </c:ext>
          </c:extLst>
        </c:ser>
        <c:dLbls>
          <c:dLblPos val="outEnd"/>
          <c:showLegendKey val="0"/>
          <c:showVal val="1"/>
          <c:showCatName val="0"/>
          <c:showSerName val="0"/>
          <c:showPercent val="0"/>
          <c:showBubbleSize val="0"/>
        </c:dLbls>
        <c:gapWidth val="444"/>
        <c:axId val="851695592"/>
        <c:axId val="851693624"/>
      </c:barChart>
      <c:lineChart>
        <c:grouping val="standard"/>
        <c:varyColors val="0"/>
        <c:ser>
          <c:idx val="1"/>
          <c:order val="1"/>
          <c:tx>
            <c:strRef>
              <c:f>'DS Tables'!$I$3</c:f>
              <c:strCache>
                <c:ptCount val="1"/>
                <c:pt idx="0">
                  <c:v>Debt-Equity Average</c:v>
                </c:pt>
              </c:strCache>
            </c:strRef>
          </c:tx>
          <c:spPr>
            <a:ln w="22225" cap="rnd">
              <a:solidFill>
                <a:schemeClr val="accent2"/>
              </a:solidFill>
              <a:round/>
            </a:ln>
            <a:effectLst/>
          </c:spPr>
          <c:marker>
            <c:symbol val="none"/>
          </c:marker>
          <c:val>
            <c:numRef>
              <c:f>'DS Tables'!$I$4:$I$32</c:f>
              <c:numCache>
                <c:formatCode>_(* #,##0.00_);_(* \(#,##0.00\);_(* "-"??_);_(@_)</c:formatCode>
                <c:ptCount val="5"/>
                <c:pt idx="0">
                  <c:v>0.62157194047722997</c:v>
                </c:pt>
                <c:pt idx="1">
                  <c:v>0.62157194047722997</c:v>
                </c:pt>
                <c:pt idx="2">
                  <c:v>0.62157194047722997</c:v>
                </c:pt>
                <c:pt idx="3">
                  <c:v>0.62157194047722997</c:v>
                </c:pt>
                <c:pt idx="4">
                  <c:v>0.62157194047722997</c:v>
                </c:pt>
              </c:numCache>
            </c:numRef>
          </c:val>
          <c:smooth val="0"/>
          <c:extLst>
            <c:ext xmlns:c16="http://schemas.microsoft.com/office/drawing/2014/chart" uri="{C3380CC4-5D6E-409C-BE32-E72D297353CC}">
              <c16:uniqueId val="{00000001-DADF-47A0-A2C6-865C648F579B}"/>
            </c:ext>
          </c:extLst>
        </c:ser>
        <c:dLbls>
          <c:showLegendKey val="0"/>
          <c:showVal val="0"/>
          <c:showCatName val="0"/>
          <c:showSerName val="0"/>
          <c:showPercent val="0"/>
          <c:showBubbleSize val="0"/>
        </c:dLbls>
        <c:marker val="1"/>
        <c:smooth val="0"/>
        <c:axId val="851695592"/>
        <c:axId val="851693624"/>
      </c:lineChart>
      <c:catAx>
        <c:axId val="851695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CA"/>
                  <a:t>Company</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cap="all" spc="120" normalizeH="0" baseline="0">
                <a:solidFill>
                  <a:schemeClr val="dk1"/>
                </a:solidFill>
                <a:latin typeface="+mn-lt"/>
                <a:ea typeface="+mn-ea"/>
                <a:cs typeface="+mn-cs"/>
              </a:defRPr>
            </a:pPr>
            <a:endParaRPr lang="en-US"/>
          </a:p>
        </c:txPr>
        <c:crossAx val="851693624"/>
        <c:crosses val="autoZero"/>
        <c:auto val="1"/>
        <c:lblAlgn val="ctr"/>
        <c:lblOffset val="100"/>
        <c:noMultiLvlLbl val="0"/>
      </c:catAx>
      <c:valAx>
        <c:axId val="851693624"/>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CA"/>
                  <a:t>DEbt-Equity = Total Liabilites/Total Share Holder equity</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_(* #,##0.00_);_(* \(#,##0.00\);_(* &quot;-&quot;??_);_(@_)" sourceLinked="1"/>
        <c:majorTickMark val="none"/>
        <c:minorTickMark val="none"/>
        <c:tickLblPos val="nextTo"/>
        <c:crossAx val="851695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dk1"/>
                </a:solidFill>
                <a:latin typeface="+mn-lt"/>
                <a:ea typeface="+mn-ea"/>
                <a:cs typeface="+mn-cs"/>
              </a:defRPr>
            </a:pPr>
            <a:r>
              <a:rPr lang="en-CA"/>
              <a:t>Debt- Assets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dk1"/>
              </a:solidFill>
              <a:latin typeface="+mn-lt"/>
              <a:ea typeface="+mn-ea"/>
              <a:cs typeface="+mn-cs"/>
            </a:defRPr>
          </a:pPr>
          <a:endParaRPr lang="en-US"/>
        </a:p>
      </c:txPr>
    </c:title>
    <c:autoTitleDeleted val="0"/>
    <c:plotArea>
      <c:layout/>
      <c:barChart>
        <c:barDir val="col"/>
        <c:grouping val="clustered"/>
        <c:varyColors val="0"/>
        <c:ser>
          <c:idx val="0"/>
          <c:order val="0"/>
          <c:tx>
            <c:strRef>
              <c:f>'DS Tables'!$F$3</c:f>
              <c:strCache>
                <c:ptCount val="1"/>
                <c:pt idx="0">
                  <c:v>Debt-Assest</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'DS Tables'!$A$4:$A$32</c:f>
              <c:strCache>
                <c:ptCount val="5"/>
                <c:pt idx="0">
                  <c:v> Franco-Nevada Corp (XTSE:FNV) </c:v>
                </c:pt>
                <c:pt idx="1">
                  <c:v> Barrick Gold Corp (XTSE:ABX) </c:v>
                </c:pt>
                <c:pt idx="2">
                  <c:v> Newmont Corporation (XTSE:NGT) </c:v>
                </c:pt>
                <c:pt idx="3">
                  <c:v> Kirkland Lake Gold Ltd (XTSE:KL) </c:v>
                </c:pt>
                <c:pt idx="4">
                  <c:v> Agnico Eagle Mines Ltd (XTSE:AEM) </c:v>
                </c:pt>
              </c:strCache>
            </c:strRef>
          </c:cat>
          <c:val>
            <c:numRef>
              <c:f>'DS Tables'!$F$4:$F$32</c:f>
              <c:numCache>
                <c:formatCode>_(* #,##0.00_);_(* \(#,##0.00\);_(* "-"??_);_(@_)</c:formatCode>
                <c:ptCount val="5"/>
                <c:pt idx="0">
                  <c:v>4.1280060594584361E-2</c:v>
                </c:pt>
                <c:pt idx="1">
                  <c:v>0.51721030816363311</c:v>
                </c:pt>
                <c:pt idx="2">
                  <c:v>0.46415169860409267</c:v>
                </c:pt>
                <c:pt idx="3">
                  <c:v>0.28967943706020327</c:v>
                </c:pt>
                <c:pt idx="4">
                  <c:v>0.41843003412969282</c:v>
                </c:pt>
              </c:numCache>
            </c:numRef>
          </c:val>
          <c:extLst>
            <c:ext xmlns:c16="http://schemas.microsoft.com/office/drawing/2014/chart" uri="{C3380CC4-5D6E-409C-BE32-E72D297353CC}">
              <c16:uniqueId val="{00000000-9E13-46C3-9076-050C9FFBB69D}"/>
            </c:ext>
          </c:extLst>
        </c:ser>
        <c:dLbls>
          <c:dLblPos val="outEnd"/>
          <c:showLegendKey val="0"/>
          <c:showVal val="1"/>
          <c:showCatName val="0"/>
          <c:showSerName val="0"/>
          <c:showPercent val="0"/>
          <c:showBubbleSize val="0"/>
        </c:dLbls>
        <c:gapWidth val="444"/>
        <c:axId val="851695592"/>
        <c:axId val="851693624"/>
      </c:barChart>
      <c:lineChart>
        <c:grouping val="standard"/>
        <c:varyColors val="0"/>
        <c:ser>
          <c:idx val="1"/>
          <c:order val="1"/>
          <c:tx>
            <c:strRef>
              <c:f>'DS Tables'!$J$3</c:f>
              <c:strCache>
                <c:ptCount val="1"/>
                <c:pt idx="0">
                  <c:v>Debit Asset Average</c:v>
                </c:pt>
              </c:strCache>
            </c:strRef>
          </c:tx>
          <c:spPr>
            <a:ln w="22225" cap="rnd">
              <a:solidFill>
                <a:schemeClr val="accent2"/>
              </a:solidFill>
              <a:round/>
            </a:ln>
            <a:effectLst/>
          </c:spPr>
          <c:marker>
            <c:symbol val="none"/>
          </c:marker>
          <c:val>
            <c:numRef>
              <c:f>'DS Tables'!$J$4:$J$32</c:f>
              <c:numCache>
                <c:formatCode>_(* #,##0.00_);_(* \(#,##0.00\);_(* "-"??_);_(@_)</c:formatCode>
                <c:ptCount val="5"/>
                <c:pt idx="0">
                  <c:v>0.3461503077104412</c:v>
                </c:pt>
                <c:pt idx="1">
                  <c:v>0.3461503077104412</c:v>
                </c:pt>
                <c:pt idx="2">
                  <c:v>0.3461503077104412</c:v>
                </c:pt>
                <c:pt idx="3">
                  <c:v>0.3461503077104412</c:v>
                </c:pt>
                <c:pt idx="4">
                  <c:v>0.3461503077104412</c:v>
                </c:pt>
              </c:numCache>
            </c:numRef>
          </c:val>
          <c:smooth val="0"/>
          <c:extLst>
            <c:ext xmlns:c16="http://schemas.microsoft.com/office/drawing/2014/chart" uri="{C3380CC4-5D6E-409C-BE32-E72D297353CC}">
              <c16:uniqueId val="{00000001-9E13-46C3-9076-050C9FFBB69D}"/>
            </c:ext>
          </c:extLst>
        </c:ser>
        <c:dLbls>
          <c:showLegendKey val="0"/>
          <c:showVal val="0"/>
          <c:showCatName val="0"/>
          <c:showSerName val="0"/>
          <c:showPercent val="0"/>
          <c:showBubbleSize val="0"/>
        </c:dLbls>
        <c:marker val="1"/>
        <c:smooth val="0"/>
        <c:axId val="851695592"/>
        <c:axId val="851693624"/>
      </c:lineChart>
      <c:catAx>
        <c:axId val="851695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CA"/>
                  <a:t>Company</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cap="all" spc="120" normalizeH="0" baseline="0">
                <a:solidFill>
                  <a:schemeClr val="dk1"/>
                </a:solidFill>
                <a:latin typeface="+mn-lt"/>
                <a:ea typeface="+mn-ea"/>
                <a:cs typeface="+mn-cs"/>
              </a:defRPr>
            </a:pPr>
            <a:endParaRPr lang="en-US"/>
          </a:p>
        </c:txPr>
        <c:crossAx val="851693624"/>
        <c:crosses val="autoZero"/>
        <c:auto val="1"/>
        <c:lblAlgn val="ctr"/>
        <c:lblOffset val="100"/>
        <c:noMultiLvlLbl val="0"/>
      </c:catAx>
      <c:valAx>
        <c:axId val="851693624"/>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CA"/>
                  <a:t>DEbt-Assets = Total Liabilites/Total Assets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_(* #,##0.00_);_(* \(#,##0.00\);_(* &quot;-&quot;??_);_(@_)" sourceLinked="1"/>
        <c:majorTickMark val="none"/>
        <c:minorTickMark val="none"/>
        <c:tickLblPos val="nextTo"/>
        <c:crossAx val="851695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96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0.35155045730704276"/>
          <c:y val="7.9892312957960815E-2"/>
          <c:w val="0.59415056404857469"/>
          <c:h val="0.82446242130647118"/>
        </c:manualLayout>
      </c:layout>
      <c:barChart>
        <c:barDir val="bar"/>
        <c:grouping val="clustered"/>
        <c:varyColors val="0"/>
        <c:ser>
          <c:idx val="0"/>
          <c:order val="0"/>
          <c:tx>
            <c:strRef>
              <c:f>'2) Estimated OPsCashflow'!$D$7</c:f>
              <c:strCache>
                <c:ptCount val="1"/>
                <c:pt idx="0">
                  <c:v>Guidance</c:v>
                </c:pt>
              </c:strCache>
            </c:strRef>
          </c:tx>
          <c:spPr>
            <a:solidFill>
              <a:schemeClr val="accent1"/>
            </a:solidFill>
            <a:ln>
              <a:noFill/>
            </a:ln>
            <a:effectLst/>
          </c:spPr>
          <c:invertIfNegative val="0"/>
          <c:cat>
            <c:strRef>
              <c:f>'2) Estimated OPsCashflow'!$B$8:$B$36</c:f>
              <c:strCache>
                <c:ptCount val="29"/>
                <c:pt idx="0">
                  <c:v>Harte Gold Corp (XTSE:HRT)</c:v>
                </c:pt>
                <c:pt idx="1">
                  <c:v>Wesdome Gold Mines Ltd (XTSE:WDO)</c:v>
                </c:pt>
                <c:pt idx="2">
                  <c:v>TMAC Resources Inc (XTSE:TMR)</c:v>
                </c:pt>
                <c:pt idx="3">
                  <c:v>K92 Mining Inc (XTSX:KNT)</c:v>
                </c:pt>
                <c:pt idx="4">
                  <c:v>McEwen Mining Inc (XTSE:MUX)</c:v>
                </c:pt>
                <c:pt idx="5">
                  <c:v>Victoria Gold Corp (XTSE:VGCX)</c:v>
                </c:pt>
                <c:pt idx="6">
                  <c:v>Dundee Precious Metals Inc (XTSE:DPM)</c:v>
                </c:pt>
                <c:pt idx="7">
                  <c:v>Lundin Gold Inc (XTSE:LUG)</c:v>
                </c:pt>
                <c:pt idx="8">
                  <c:v>New Gold Inc (XTSE:NGD)</c:v>
                </c:pt>
                <c:pt idx="9">
                  <c:v>Semafo Inc (XTSE:SMF)</c:v>
                </c:pt>
                <c:pt idx="10">
                  <c:v>Pretium Resources Inc (XTSE:PVG)</c:v>
                </c:pt>
                <c:pt idx="11">
                  <c:v>Teranga Gold Corp (XTSE:TGZ)</c:v>
                </c:pt>
                <c:pt idx="12">
                  <c:v>SSR Mining Inc (XTSE:SSRM)</c:v>
                </c:pt>
                <c:pt idx="13">
                  <c:v>Alamos Gold Inc (XNYS:AGI)</c:v>
                </c:pt>
                <c:pt idx="14">
                  <c:v>Torex Gold Resources Inc (XTSE:TXG)</c:v>
                </c:pt>
                <c:pt idx="15">
                  <c:v>Centamin PLC (XTSE:CEE)</c:v>
                </c:pt>
                <c:pt idx="16">
                  <c:v>Eldorado Gold Corp (XTSE:ELD)</c:v>
                </c:pt>
                <c:pt idx="17">
                  <c:v>Franco-Nevada Corp (XTSE:FNV)</c:v>
                </c:pt>
                <c:pt idx="18">
                  <c:v>Equinox Gold Corp (XTSE:EQX)</c:v>
                </c:pt>
                <c:pt idx="19">
                  <c:v>Iamgold Corp (XTSE:IMG)</c:v>
                </c:pt>
                <c:pt idx="20">
                  <c:v>Centerra Gold Inc (XTSE:CG)</c:v>
                </c:pt>
                <c:pt idx="21">
                  <c:v>Yamana Gold Inc (XTSE:YRI)</c:v>
                </c:pt>
                <c:pt idx="22">
                  <c:v>B2Gold Corp (XTSE:BTO)</c:v>
                </c:pt>
                <c:pt idx="23">
                  <c:v>Kirkland Lake Gold Ltd (XTSE:KL)</c:v>
                </c:pt>
                <c:pt idx="24">
                  <c:v>Agnico Eagle Mines Ltd (XTSE:AEM)</c:v>
                </c:pt>
                <c:pt idx="25">
                  <c:v>Kinross Gold Corp (XTSE:K)</c:v>
                </c:pt>
                <c:pt idx="26">
                  <c:v>AngloGold Ashanti Ltd (XNYS:AU)</c:v>
                </c:pt>
                <c:pt idx="27">
                  <c:v>Barrick Gold Corp (XTSE:ABX)</c:v>
                </c:pt>
                <c:pt idx="28">
                  <c:v>Newmont Corporation (XTSE:NGT)</c:v>
                </c:pt>
              </c:strCache>
            </c:strRef>
          </c:cat>
          <c:val>
            <c:numRef>
              <c:f>'2) Estimated OPsCashflow'!$D$8:$D$36</c:f>
              <c:numCache>
                <c:formatCode>_-* #,##0_-;\-* #,##0_-;_-* "-"??_-;_-@_-</c:formatCode>
                <c:ptCount val="29"/>
                <c:pt idx="0">
                  <c:v>45000</c:v>
                </c:pt>
                <c:pt idx="1">
                  <c:v>95000</c:v>
                </c:pt>
                <c:pt idx="2">
                  <c:v>113700</c:v>
                </c:pt>
                <c:pt idx="3">
                  <c:v>115000</c:v>
                </c:pt>
                <c:pt idx="4">
                  <c:v>172500</c:v>
                </c:pt>
                <c:pt idx="5">
                  <c:v>210000</c:v>
                </c:pt>
                <c:pt idx="6">
                  <c:v>274000</c:v>
                </c:pt>
                <c:pt idx="7">
                  <c:v>280000</c:v>
                </c:pt>
                <c:pt idx="8">
                  <c:v>326500</c:v>
                </c:pt>
                <c:pt idx="9">
                  <c:v>335000</c:v>
                </c:pt>
                <c:pt idx="10">
                  <c:v>345000</c:v>
                </c:pt>
                <c:pt idx="11">
                  <c:v>350000</c:v>
                </c:pt>
                <c:pt idx="12">
                  <c:v>425000</c:v>
                </c:pt>
                <c:pt idx="13">
                  <c:v>445000</c:v>
                </c:pt>
                <c:pt idx="14">
                  <c:v>450000</c:v>
                </c:pt>
                <c:pt idx="15">
                  <c:v>525000</c:v>
                </c:pt>
                <c:pt idx="16">
                  <c:v>535000</c:v>
                </c:pt>
                <c:pt idx="17">
                  <c:v>565000</c:v>
                </c:pt>
                <c:pt idx="18">
                  <c:v>700000</c:v>
                </c:pt>
                <c:pt idx="19">
                  <c:v>730000</c:v>
                </c:pt>
                <c:pt idx="20">
                  <c:v>805000</c:v>
                </c:pt>
                <c:pt idx="21">
                  <c:v>990000</c:v>
                </c:pt>
                <c:pt idx="22">
                  <c:v>1027500</c:v>
                </c:pt>
                <c:pt idx="23">
                  <c:v>1505000</c:v>
                </c:pt>
                <c:pt idx="24">
                  <c:v>2000000</c:v>
                </c:pt>
                <c:pt idx="25">
                  <c:v>2400000</c:v>
                </c:pt>
                <c:pt idx="26">
                  <c:v>3175000</c:v>
                </c:pt>
                <c:pt idx="27">
                  <c:v>5000000</c:v>
                </c:pt>
                <c:pt idx="28">
                  <c:v>6400000</c:v>
                </c:pt>
              </c:numCache>
            </c:numRef>
          </c:val>
          <c:extLst>
            <c:ext xmlns:c16="http://schemas.microsoft.com/office/drawing/2014/chart" uri="{C3380CC4-5D6E-409C-BE32-E72D297353CC}">
              <c16:uniqueId val="{00000000-5A29-4255-AE72-91F2EE11C431}"/>
            </c:ext>
          </c:extLst>
        </c:ser>
        <c:dLbls>
          <c:showLegendKey val="0"/>
          <c:showVal val="0"/>
          <c:showCatName val="0"/>
          <c:showSerName val="0"/>
          <c:showPercent val="0"/>
          <c:showBubbleSize val="0"/>
        </c:dLbls>
        <c:gapWidth val="25"/>
        <c:axId val="842622280"/>
        <c:axId val="842622936"/>
      </c:barChart>
      <c:catAx>
        <c:axId val="842622280"/>
        <c:scaling>
          <c:orientation val="minMax"/>
        </c:scaling>
        <c:delete val="0"/>
        <c:axPos val="l"/>
        <c:title>
          <c:tx>
            <c:rich>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Company</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800" b="0" i="0" u="none" strike="noStrike" kern="1200" baseline="0">
                <a:solidFill>
                  <a:schemeClr val="dk1"/>
                </a:solidFill>
                <a:latin typeface="+mn-lt"/>
                <a:ea typeface="+mn-ea"/>
                <a:cs typeface="+mn-cs"/>
              </a:defRPr>
            </a:pPr>
            <a:endParaRPr lang="en-US"/>
          </a:p>
        </c:txPr>
        <c:crossAx val="842622936"/>
        <c:crosses val="autoZero"/>
        <c:auto val="1"/>
        <c:lblAlgn val="ctr"/>
        <c:lblOffset val="100"/>
        <c:noMultiLvlLbl val="0"/>
      </c:catAx>
      <c:valAx>
        <c:axId val="842622936"/>
        <c:scaling>
          <c:orientation val="minMax"/>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GEO (Moz)</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_-* #,##0_-;\-* #,##0_-;_-* &quot;-&quot;??_-;_-@_-"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crossAx val="842622280"/>
        <c:crosses val="autoZero"/>
        <c:crossBetween val="between"/>
        <c:dispUnits>
          <c:builtInUnit val="millions"/>
          <c:dispUnitsLbl>
            <c:layout>
              <c:manualLayout>
                <c:xMode val="edge"/>
                <c:yMode val="edge"/>
                <c:x val="0.87625233518425338"/>
                <c:y val="0.94399617174924955"/>
              </c:manualLayout>
            </c:layout>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sz="800">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1" i="0" u="none" strike="noStrike" kern="1200" cap="all" spc="120" normalizeH="0" baseline="0">
                <a:solidFill>
                  <a:schemeClr val="dk1"/>
                </a:solidFill>
                <a:latin typeface="+mn-lt"/>
                <a:ea typeface="+mn-ea"/>
                <a:cs typeface="+mn-cs"/>
              </a:defRPr>
            </a:pPr>
            <a:r>
              <a:rPr lang="en-CA"/>
              <a:t>2020 AISC Gudiance</a:t>
            </a:r>
          </a:p>
        </c:rich>
      </c:tx>
      <c:overlay val="0"/>
      <c:spPr>
        <a:noFill/>
        <a:ln>
          <a:noFill/>
        </a:ln>
        <a:effectLst/>
      </c:spPr>
      <c:txPr>
        <a:bodyPr rot="0" spcFirstLastPara="1" vertOverflow="ellipsis" vert="horz" wrap="square" anchor="ctr" anchorCtr="1"/>
        <a:lstStyle/>
        <a:p>
          <a:pPr>
            <a:defRPr sz="840" b="1" i="0" u="none" strike="noStrike" kern="1200" cap="all" spc="120" normalizeH="0" baseline="0">
              <a:solidFill>
                <a:schemeClr val="dk1"/>
              </a:solidFill>
              <a:latin typeface="+mn-lt"/>
              <a:ea typeface="+mn-ea"/>
              <a:cs typeface="+mn-cs"/>
            </a:defRPr>
          </a:pPr>
          <a:endParaRPr lang="en-US"/>
        </a:p>
      </c:txPr>
    </c:title>
    <c:autoTitleDeleted val="0"/>
    <c:plotArea>
      <c:layout/>
      <c:barChart>
        <c:barDir val="bar"/>
        <c:grouping val="clustered"/>
        <c:varyColors val="0"/>
        <c:ser>
          <c:idx val="0"/>
          <c:order val="0"/>
          <c:tx>
            <c:strRef>
              <c:f>'DS Tables'!$G$35</c:f>
              <c:strCache>
                <c:ptCount val="1"/>
                <c:pt idx="0">
                  <c:v>AISC 2020E Guidance</c:v>
                </c:pt>
              </c:strCache>
            </c:strRef>
          </c:tx>
          <c:spPr>
            <a:solidFill>
              <a:schemeClr val="accent1"/>
            </a:solidFill>
            <a:ln>
              <a:solidFill>
                <a:schemeClr val="dk1"/>
              </a:solid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7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'DS Tables'!$E$36:$E$64</c:f>
              <c:strCache>
                <c:ptCount val="29"/>
                <c:pt idx="0">
                  <c:v>Franco-Nevada Corp (XTSE:FNV)</c:v>
                </c:pt>
                <c:pt idx="1">
                  <c:v>Lundin Gold Inc (XTSE:LUG)</c:v>
                </c:pt>
                <c:pt idx="2">
                  <c:v>Dundee Precious Metals Inc (XTSE:DPM)</c:v>
                </c:pt>
                <c:pt idx="3">
                  <c:v>K92 Mining Inc (XTSX:KNT)</c:v>
                </c:pt>
                <c:pt idx="4">
                  <c:v>B2Gold Corp (XTSE:BTO)</c:v>
                </c:pt>
                <c:pt idx="5">
                  <c:v>Victoria Gold Corp (XTSE:VGCX)</c:v>
                </c:pt>
                <c:pt idx="6">
                  <c:v>Kirkland Lake Gold Ltd (XTSE:KL)</c:v>
                </c:pt>
                <c:pt idx="7">
                  <c:v>Centerra Gold Inc (XTSE:CG)</c:v>
                </c:pt>
                <c:pt idx="8">
                  <c:v>Centamin PLC (XTSE:CEE)</c:v>
                </c:pt>
                <c:pt idx="9">
                  <c:v>Eldorado Gold Corp (XTSE:ELD)</c:v>
                </c:pt>
                <c:pt idx="10">
                  <c:v>Semafo Inc (XTSE:SMF)</c:v>
                </c:pt>
                <c:pt idx="11">
                  <c:v>Torex Gold Resources Inc (XTSE:TXG)</c:v>
                </c:pt>
                <c:pt idx="12">
                  <c:v>Barrick Gold Corp (XTSE:ABX)</c:v>
                </c:pt>
                <c:pt idx="13">
                  <c:v>Kinross Gold Corp (XTSE:K)</c:v>
                </c:pt>
                <c:pt idx="14">
                  <c:v>Newmont Corporation (XTSE:NGT)</c:v>
                </c:pt>
                <c:pt idx="15">
                  <c:v>Pretium Resources Inc (XTSE:PVG)</c:v>
                </c:pt>
                <c:pt idx="16">
                  <c:v>Yamana Gold Inc (XTSE:YRI)</c:v>
                </c:pt>
                <c:pt idx="17">
                  <c:v>Agnico Eagle Mines Ltd (XTSE:AEM)</c:v>
                </c:pt>
                <c:pt idx="18">
                  <c:v>Equinox Gold Corp (XTSE:EQX)</c:v>
                </c:pt>
                <c:pt idx="19">
                  <c:v>Teranga Gold Corp (XTSE:TGZ)</c:v>
                </c:pt>
                <c:pt idx="20">
                  <c:v>Alamos Gold Inc (XNYS:AGI)</c:v>
                </c:pt>
                <c:pt idx="21">
                  <c:v>AngloGold Ashanti Ltd (XNYS:AU)</c:v>
                </c:pt>
                <c:pt idx="22">
                  <c:v>SSR Mining Inc (XTSE:SSRM)</c:v>
                </c:pt>
                <c:pt idx="23">
                  <c:v>McEwen Mining Inc (XTSE:MUX)</c:v>
                </c:pt>
                <c:pt idx="24">
                  <c:v>TMAC Resources Inc (XTSE:TMR)</c:v>
                </c:pt>
                <c:pt idx="25">
                  <c:v>Iamgold Corp (XTSE:IMG)</c:v>
                </c:pt>
                <c:pt idx="26">
                  <c:v>New Gold Inc (XTSE:NGD)</c:v>
                </c:pt>
                <c:pt idx="27">
                  <c:v>Wesdome Gold Mines Ltd (XTSE:WDO)</c:v>
                </c:pt>
                <c:pt idx="28">
                  <c:v>Harte Gold Corp (XTSE:HRT)</c:v>
                </c:pt>
              </c:strCache>
            </c:strRef>
          </c:cat>
          <c:val>
            <c:numRef>
              <c:f>'DS Tables'!$G$36:$G$64</c:f>
              <c:numCache>
                <c:formatCode>_-* #,##0_-;\-* #,##0_-;_-* "-"??_-;_-@_-</c:formatCode>
                <c:ptCount val="29"/>
                <c:pt idx="0">
                  <c:v>344.64016736401675</c:v>
                </c:pt>
                <c:pt idx="1">
                  <c:v>621</c:v>
                </c:pt>
                <c:pt idx="2">
                  <c:v>720</c:v>
                </c:pt>
                <c:pt idx="3">
                  <c:v>750</c:v>
                </c:pt>
                <c:pt idx="4">
                  <c:v>800</c:v>
                </c:pt>
                <c:pt idx="5">
                  <c:v>800</c:v>
                </c:pt>
                <c:pt idx="6">
                  <c:v>830</c:v>
                </c:pt>
                <c:pt idx="7">
                  <c:v>845</c:v>
                </c:pt>
                <c:pt idx="8">
                  <c:v>895</c:v>
                </c:pt>
                <c:pt idx="9">
                  <c:v>900</c:v>
                </c:pt>
                <c:pt idx="10">
                  <c:v>927.5</c:v>
                </c:pt>
                <c:pt idx="11">
                  <c:v>930</c:v>
                </c:pt>
                <c:pt idx="12">
                  <c:v>945</c:v>
                </c:pt>
                <c:pt idx="13">
                  <c:v>970</c:v>
                </c:pt>
                <c:pt idx="14">
                  <c:v>975</c:v>
                </c:pt>
                <c:pt idx="15">
                  <c:v>985</c:v>
                </c:pt>
                <c:pt idx="16">
                  <c:v>999</c:v>
                </c:pt>
                <c:pt idx="17">
                  <c:v>1000</c:v>
                </c:pt>
                <c:pt idx="18">
                  <c:v>1000</c:v>
                </c:pt>
                <c:pt idx="19">
                  <c:v>1037.5</c:v>
                </c:pt>
                <c:pt idx="20">
                  <c:v>1040</c:v>
                </c:pt>
                <c:pt idx="21">
                  <c:v>1070</c:v>
                </c:pt>
                <c:pt idx="22">
                  <c:v>1087</c:v>
                </c:pt>
                <c:pt idx="23">
                  <c:v>1100</c:v>
                </c:pt>
                <c:pt idx="24">
                  <c:v>1100</c:v>
                </c:pt>
                <c:pt idx="25">
                  <c:v>1125</c:v>
                </c:pt>
                <c:pt idx="26">
                  <c:v>1300</c:v>
                </c:pt>
                <c:pt idx="27">
                  <c:v>1315</c:v>
                </c:pt>
                <c:pt idx="28">
                  <c:v>1562.5</c:v>
                </c:pt>
              </c:numCache>
            </c:numRef>
          </c:val>
          <c:extLst>
            <c:ext xmlns:c16="http://schemas.microsoft.com/office/drawing/2014/chart" uri="{C3380CC4-5D6E-409C-BE32-E72D297353CC}">
              <c16:uniqueId val="{00000000-214E-4339-BDB9-456C2A642A0D}"/>
            </c:ext>
          </c:extLst>
        </c:ser>
        <c:dLbls>
          <c:showLegendKey val="0"/>
          <c:showVal val="0"/>
          <c:showCatName val="0"/>
          <c:showSerName val="0"/>
          <c:showPercent val="0"/>
          <c:showBubbleSize val="0"/>
        </c:dLbls>
        <c:gapWidth val="150"/>
        <c:axId val="851695592"/>
        <c:axId val="851693624"/>
      </c:barChart>
      <c:barChart>
        <c:barDir val="bar"/>
        <c:grouping val="clustered"/>
        <c:varyColors val="0"/>
        <c:ser>
          <c:idx val="1"/>
          <c:order val="1"/>
          <c:tx>
            <c:strRef>
              <c:f>'DS Tables'!$H$35</c:f>
              <c:strCache>
                <c:ptCount val="1"/>
                <c:pt idx="0">
                  <c:v>AISC Average</c:v>
                </c:pt>
              </c:strCache>
            </c:strRef>
          </c:tx>
          <c:spPr>
            <a:solidFill>
              <a:schemeClr val="accent2">
                <a:alpha val="19000"/>
              </a:schemeClr>
            </a:solidFill>
            <a:ln>
              <a:noFill/>
            </a:ln>
            <a:effectLst/>
          </c:spPr>
          <c:invertIfNegative val="0"/>
          <c:val>
            <c:numRef>
              <c:f>'DS Tables'!$H$36:$H$64</c:f>
              <c:numCache>
                <c:formatCode>_-* #,##0_-;\-* #,##0_-;_-* "-"??_-;_-@_-</c:formatCode>
                <c:ptCount val="29"/>
                <c:pt idx="0">
                  <c:v>964.62552301255232</c:v>
                </c:pt>
                <c:pt idx="1">
                  <c:v>964.62552301255232</c:v>
                </c:pt>
                <c:pt idx="2">
                  <c:v>964.62552301255232</c:v>
                </c:pt>
                <c:pt idx="3">
                  <c:v>964.62552301255232</c:v>
                </c:pt>
                <c:pt idx="4">
                  <c:v>964.62552301255232</c:v>
                </c:pt>
                <c:pt idx="5">
                  <c:v>964.62552301255232</c:v>
                </c:pt>
                <c:pt idx="6">
                  <c:v>964.62552301255232</c:v>
                </c:pt>
                <c:pt idx="7">
                  <c:v>964.62552301255232</c:v>
                </c:pt>
                <c:pt idx="8">
                  <c:v>964.62552301255232</c:v>
                </c:pt>
                <c:pt idx="9">
                  <c:v>964.62552301255232</c:v>
                </c:pt>
                <c:pt idx="10">
                  <c:v>964.62552301255232</c:v>
                </c:pt>
                <c:pt idx="11">
                  <c:v>964.62552301255232</c:v>
                </c:pt>
                <c:pt idx="12">
                  <c:v>964.62552301255232</c:v>
                </c:pt>
                <c:pt idx="13">
                  <c:v>964.62552301255232</c:v>
                </c:pt>
                <c:pt idx="14">
                  <c:v>964.62552301255232</c:v>
                </c:pt>
                <c:pt idx="15">
                  <c:v>964.62552301255232</c:v>
                </c:pt>
                <c:pt idx="16">
                  <c:v>964.62552301255232</c:v>
                </c:pt>
                <c:pt idx="17">
                  <c:v>964.62552301255232</c:v>
                </c:pt>
                <c:pt idx="18">
                  <c:v>964.62552301255232</c:v>
                </c:pt>
                <c:pt idx="19">
                  <c:v>964.62552301255232</c:v>
                </c:pt>
                <c:pt idx="20">
                  <c:v>964.62552301255232</c:v>
                </c:pt>
                <c:pt idx="21">
                  <c:v>964.62552301255232</c:v>
                </c:pt>
                <c:pt idx="22">
                  <c:v>964.62552301255232</c:v>
                </c:pt>
                <c:pt idx="23">
                  <c:v>964.62552301255232</c:v>
                </c:pt>
                <c:pt idx="24">
                  <c:v>964.62552301255232</c:v>
                </c:pt>
                <c:pt idx="25">
                  <c:v>964.62552301255232</c:v>
                </c:pt>
                <c:pt idx="26">
                  <c:v>964.62552301255232</c:v>
                </c:pt>
                <c:pt idx="27">
                  <c:v>964.62552301255232</c:v>
                </c:pt>
                <c:pt idx="28">
                  <c:v>964.62552301255232</c:v>
                </c:pt>
              </c:numCache>
            </c:numRef>
          </c:val>
          <c:extLst>
            <c:ext xmlns:c16="http://schemas.microsoft.com/office/drawing/2014/chart" uri="{C3380CC4-5D6E-409C-BE32-E72D297353CC}">
              <c16:uniqueId val="{00000001-214E-4339-BDB9-456C2A642A0D}"/>
            </c:ext>
          </c:extLst>
        </c:ser>
        <c:dLbls>
          <c:showLegendKey val="0"/>
          <c:showVal val="0"/>
          <c:showCatName val="0"/>
          <c:showSerName val="0"/>
          <c:showPercent val="0"/>
          <c:showBubbleSize val="0"/>
        </c:dLbls>
        <c:gapWidth val="175"/>
        <c:axId val="968926456"/>
        <c:axId val="968925800"/>
      </c:barChart>
      <c:catAx>
        <c:axId val="851695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0" i="0" u="none" strike="noStrike" kern="1200" cap="all" baseline="0">
                    <a:solidFill>
                      <a:schemeClr val="dk1"/>
                    </a:solidFill>
                    <a:latin typeface="+mn-lt"/>
                    <a:ea typeface="+mn-ea"/>
                    <a:cs typeface="+mn-cs"/>
                  </a:defRPr>
                </a:pPr>
                <a:r>
                  <a:rPr lang="en-CA"/>
                  <a:t>Company</a:t>
                </a:r>
              </a:p>
            </c:rich>
          </c:tx>
          <c:overlay val="0"/>
          <c:spPr>
            <a:noFill/>
            <a:ln>
              <a:noFill/>
            </a:ln>
            <a:effectLst/>
          </c:spPr>
          <c:txPr>
            <a:bodyPr rot="-5400000" spcFirstLastPara="1" vertOverflow="ellipsis" vert="horz" wrap="square" anchor="ctr" anchorCtr="1"/>
            <a:lstStyle/>
            <a:p>
              <a:pPr>
                <a:defRPr sz="7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cap="all" spc="120" normalizeH="0" baseline="0">
                <a:solidFill>
                  <a:schemeClr val="dk1"/>
                </a:solidFill>
                <a:latin typeface="+mn-lt"/>
                <a:ea typeface="+mn-ea"/>
                <a:cs typeface="+mn-cs"/>
              </a:defRPr>
            </a:pPr>
            <a:endParaRPr lang="en-US"/>
          </a:p>
        </c:txPr>
        <c:crossAx val="851693624"/>
        <c:crosses val="autoZero"/>
        <c:auto val="1"/>
        <c:lblAlgn val="ctr"/>
        <c:lblOffset val="100"/>
        <c:noMultiLvlLbl val="0"/>
      </c:catAx>
      <c:valAx>
        <c:axId val="851693624"/>
        <c:scaling>
          <c:orientation val="minMax"/>
          <c:max val="1600"/>
        </c:scaling>
        <c:delete val="0"/>
        <c:axPos val="b"/>
        <c:title>
          <c:tx>
            <c:rich>
              <a:bodyPr rot="0" spcFirstLastPara="1" vertOverflow="ellipsis" vert="horz" wrap="square" anchor="ctr" anchorCtr="1"/>
              <a:lstStyle/>
              <a:p>
                <a:pPr>
                  <a:defRPr sz="700" b="0" i="0" u="none" strike="noStrike" kern="1200" cap="all" baseline="0">
                    <a:solidFill>
                      <a:schemeClr val="dk1"/>
                    </a:solidFill>
                    <a:latin typeface="+mn-lt"/>
                    <a:ea typeface="+mn-ea"/>
                    <a:cs typeface="+mn-cs"/>
                  </a:defRPr>
                </a:pPr>
                <a:r>
                  <a:rPr lang="en-CA"/>
                  <a:t>All IN Sustaining Cost ($USD)</a:t>
                </a:r>
              </a:p>
            </c:rich>
          </c:tx>
          <c:overlay val="0"/>
          <c:spPr>
            <a:noFill/>
            <a:ln>
              <a:noFill/>
            </a:ln>
            <a:effectLst/>
          </c:spPr>
          <c:txPr>
            <a:bodyPr rot="0" spcFirstLastPara="1" vertOverflow="ellipsis" vert="horz" wrap="square" anchor="ctr" anchorCtr="1"/>
            <a:lstStyle/>
            <a:p>
              <a:pPr>
                <a:defRPr sz="700" b="0" i="0" u="none" strike="noStrike" kern="1200" cap="all" baseline="0">
                  <a:solidFill>
                    <a:schemeClr val="dk1"/>
                  </a:solidFill>
                  <a:latin typeface="+mn-lt"/>
                  <a:ea typeface="+mn-ea"/>
                  <a:cs typeface="+mn-cs"/>
                </a:defRPr>
              </a:pPr>
              <a:endParaRPr lang="en-US"/>
            </a:p>
          </c:txPr>
        </c:title>
        <c:numFmt formatCode="_-* #,##0_-;\-* #,##0_-;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dk1"/>
                </a:solidFill>
                <a:latin typeface="+mn-lt"/>
                <a:ea typeface="+mn-ea"/>
                <a:cs typeface="+mn-cs"/>
              </a:defRPr>
            </a:pPr>
            <a:endParaRPr lang="en-US"/>
          </a:p>
        </c:txPr>
        <c:crossAx val="851695592"/>
        <c:crosses val="autoZero"/>
        <c:crossBetween val="between"/>
        <c:majorUnit val="200"/>
      </c:valAx>
      <c:valAx>
        <c:axId val="968925800"/>
        <c:scaling>
          <c:orientation val="minMax"/>
        </c:scaling>
        <c:delete val="1"/>
        <c:axPos val="t"/>
        <c:numFmt formatCode="_-* #,##0_-;\-* #,##0_-;_-* &quot;-&quot;??_-;_-@_-" sourceLinked="1"/>
        <c:majorTickMark val="out"/>
        <c:minorTickMark val="none"/>
        <c:tickLblPos val="nextTo"/>
        <c:crossAx val="968926456"/>
        <c:crosses val="max"/>
        <c:crossBetween val="between"/>
      </c:valAx>
      <c:catAx>
        <c:axId val="968926456"/>
        <c:scaling>
          <c:orientation val="minMax"/>
        </c:scaling>
        <c:delete val="1"/>
        <c:axPos val="l"/>
        <c:majorTickMark val="out"/>
        <c:minorTickMark val="none"/>
        <c:tickLblPos val="nextTo"/>
        <c:crossAx val="968925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7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sz="700">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96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0.35155045730704276"/>
          <c:y val="7.9892312957960815E-2"/>
          <c:w val="0.59415056404857469"/>
          <c:h val="0.82446242130647118"/>
        </c:manualLayout>
      </c:layout>
      <c:barChart>
        <c:barDir val="bar"/>
        <c:grouping val="clustered"/>
        <c:varyColors val="0"/>
        <c:ser>
          <c:idx val="0"/>
          <c:order val="0"/>
          <c:tx>
            <c:strRef>
              <c:f>'2) Estimated OPsCashflow'!$F$7</c:f>
              <c:strCache>
                <c:ptCount val="1"/>
                <c:pt idx="0">
                  <c:v>Estimated 2020 OPSCF</c:v>
                </c:pt>
              </c:strCache>
            </c:strRef>
          </c:tx>
          <c:spPr>
            <a:solidFill>
              <a:schemeClr val="accent1"/>
            </a:solidFill>
            <a:ln>
              <a:noFill/>
            </a:ln>
            <a:effectLst/>
          </c:spPr>
          <c:invertIfNegative val="0"/>
          <c:cat>
            <c:strRef>
              <c:f>'2) Estimated OPsCashflow'!$B$8:$B$36</c:f>
              <c:strCache>
                <c:ptCount val="29"/>
                <c:pt idx="0">
                  <c:v>Harte Gold Corp (XTSE:HRT)</c:v>
                </c:pt>
                <c:pt idx="1">
                  <c:v>Wesdome Gold Mines Ltd (XTSE:WDO)</c:v>
                </c:pt>
                <c:pt idx="2">
                  <c:v>TMAC Resources Inc (XTSE:TMR)</c:v>
                </c:pt>
                <c:pt idx="3">
                  <c:v>K92 Mining Inc (XTSX:KNT)</c:v>
                </c:pt>
                <c:pt idx="4">
                  <c:v>McEwen Mining Inc (XTSE:MUX)</c:v>
                </c:pt>
                <c:pt idx="5">
                  <c:v>Victoria Gold Corp (XTSE:VGCX)</c:v>
                </c:pt>
                <c:pt idx="6">
                  <c:v>Dundee Precious Metals Inc (XTSE:DPM)</c:v>
                </c:pt>
                <c:pt idx="7">
                  <c:v>Lundin Gold Inc (XTSE:LUG)</c:v>
                </c:pt>
                <c:pt idx="8">
                  <c:v>New Gold Inc (XTSE:NGD)</c:v>
                </c:pt>
                <c:pt idx="9">
                  <c:v>Semafo Inc (XTSE:SMF)</c:v>
                </c:pt>
                <c:pt idx="10">
                  <c:v>Pretium Resources Inc (XTSE:PVG)</c:v>
                </c:pt>
                <c:pt idx="11">
                  <c:v>Teranga Gold Corp (XTSE:TGZ)</c:v>
                </c:pt>
                <c:pt idx="12">
                  <c:v>SSR Mining Inc (XTSE:SSRM)</c:v>
                </c:pt>
                <c:pt idx="13">
                  <c:v>Alamos Gold Inc (XNYS:AGI)</c:v>
                </c:pt>
                <c:pt idx="14">
                  <c:v>Torex Gold Resources Inc (XTSE:TXG)</c:v>
                </c:pt>
                <c:pt idx="15">
                  <c:v>Centamin PLC (XTSE:CEE)</c:v>
                </c:pt>
                <c:pt idx="16">
                  <c:v>Eldorado Gold Corp (XTSE:ELD)</c:v>
                </c:pt>
                <c:pt idx="17">
                  <c:v>Franco-Nevada Corp (XTSE:FNV)</c:v>
                </c:pt>
                <c:pt idx="18">
                  <c:v>Equinox Gold Corp (XTSE:EQX)</c:v>
                </c:pt>
                <c:pt idx="19">
                  <c:v>Iamgold Corp (XTSE:IMG)</c:v>
                </c:pt>
                <c:pt idx="20">
                  <c:v>Centerra Gold Inc (XTSE:CG)</c:v>
                </c:pt>
                <c:pt idx="21">
                  <c:v>Yamana Gold Inc (XTSE:YRI)</c:v>
                </c:pt>
                <c:pt idx="22">
                  <c:v>B2Gold Corp (XTSE:BTO)</c:v>
                </c:pt>
                <c:pt idx="23">
                  <c:v>Kirkland Lake Gold Ltd (XTSE:KL)</c:v>
                </c:pt>
                <c:pt idx="24">
                  <c:v>Agnico Eagle Mines Ltd (XTSE:AEM)</c:v>
                </c:pt>
                <c:pt idx="25">
                  <c:v>Kinross Gold Corp (XTSE:K)</c:v>
                </c:pt>
                <c:pt idx="26">
                  <c:v>AngloGold Ashanti Ltd (XNYS:AU)</c:v>
                </c:pt>
                <c:pt idx="27">
                  <c:v>Barrick Gold Corp (XTSE:ABX)</c:v>
                </c:pt>
                <c:pt idx="28">
                  <c:v>Newmont Corporation (XTSE:NGT)</c:v>
                </c:pt>
              </c:strCache>
            </c:strRef>
          </c:cat>
          <c:val>
            <c:numRef>
              <c:f>'2) Estimated OPsCashflow'!$F$8:$F$36</c:f>
              <c:numCache>
                <c:formatCode>_-"$"* #,##0_-;\-"$"* #,##0_-;_-"$"* "-"??_-;_-@_-</c:formatCode>
                <c:ptCount val="29"/>
                <c:pt idx="0">
                  <c:v>153450.0000000037</c:v>
                </c:pt>
                <c:pt idx="1">
                  <c:v>23836450.000000007</c:v>
                </c:pt>
                <c:pt idx="2">
                  <c:v>52973967.000000007</c:v>
                </c:pt>
                <c:pt idx="3">
                  <c:v>93829650.000000015</c:v>
                </c:pt>
                <c:pt idx="4">
                  <c:v>80369475.000000015</c:v>
                </c:pt>
                <c:pt idx="5">
                  <c:v>160841100.00000003</c:v>
                </c:pt>
                <c:pt idx="6">
                  <c:v>231779340.00000003</c:v>
                </c:pt>
                <c:pt idx="7">
                  <c:v>264574800.00000003</c:v>
                </c:pt>
                <c:pt idx="8">
                  <c:v>86819615.00000003</c:v>
                </c:pt>
                <c:pt idx="9">
                  <c:v>213867350.00000003</c:v>
                </c:pt>
                <c:pt idx="10">
                  <c:v>200413950.00000003</c:v>
                </c:pt>
                <c:pt idx="11">
                  <c:v>184943500.00000003</c:v>
                </c:pt>
                <c:pt idx="12">
                  <c:v>203536750.00000003</c:v>
                </c:pt>
                <c:pt idx="13">
                  <c:v>234029950.00000003</c:v>
                </c:pt>
                <c:pt idx="14">
                  <c:v>286159500.00000006</c:v>
                </c:pt>
                <c:pt idx="15">
                  <c:v>352227750.00000006</c:v>
                </c:pt>
                <c:pt idx="16">
                  <c:v>356261850.00000006</c:v>
                </c:pt>
                <c:pt idx="17">
                  <c:v>690017455.43933058</c:v>
                </c:pt>
                <c:pt idx="18">
                  <c:v>396137000.00000006</c:v>
                </c:pt>
                <c:pt idx="19">
                  <c:v>321864300.00000006</c:v>
                </c:pt>
                <c:pt idx="20">
                  <c:v>590309425.00000012</c:v>
                </c:pt>
                <c:pt idx="21">
                  <c:v>561240900.00000012</c:v>
                </c:pt>
                <c:pt idx="22">
                  <c:v>786972525.00000012</c:v>
                </c:pt>
                <c:pt idx="23">
                  <c:v>1081787700.0000002</c:v>
                </c:pt>
                <c:pt idx="24">
                  <c:v>1061081250.0000001</c:v>
                </c:pt>
                <c:pt idx="25">
                  <c:v>1430184000.0000002</c:v>
                </c:pt>
                <c:pt idx="26">
                  <c:v>1574514250.0000002</c:v>
                </c:pt>
                <c:pt idx="27">
                  <c:v>3025883750.0000005</c:v>
                </c:pt>
                <c:pt idx="28">
                  <c:v>4609098000.000001</c:v>
                </c:pt>
              </c:numCache>
            </c:numRef>
          </c:val>
          <c:extLst>
            <c:ext xmlns:c16="http://schemas.microsoft.com/office/drawing/2014/chart" uri="{C3380CC4-5D6E-409C-BE32-E72D297353CC}">
              <c16:uniqueId val="{00000000-D65C-4EE7-84DB-63026B6E92E0}"/>
            </c:ext>
          </c:extLst>
        </c:ser>
        <c:dLbls>
          <c:showLegendKey val="0"/>
          <c:showVal val="0"/>
          <c:showCatName val="0"/>
          <c:showSerName val="0"/>
          <c:showPercent val="0"/>
          <c:showBubbleSize val="0"/>
        </c:dLbls>
        <c:gapWidth val="25"/>
        <c:axId val="842622280"/>
        <c:axId val="842622936"/>
      </c:barChart>
      <c:catAx>
        <c:axId val="842622280"/>
        <c:scaling>
          <c:orientation val="minMax"/>
        </c:scaling>
        <c:delete val="0"/>
        <c:axPos val="l"/>
        <c:title>
          <c:tx>
            <c:rich>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Company</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800" b="0" i="0" u="none" strike="noStrike" kern="1200" baseline="0">
                <a:solidFill>
                  <a:schemeClr val="dk1"/>
                </a:solidFill>
                <a:latin typeface="+mn-lt"/>
                <a:ea typeface="+mn-ea"/>
                <a:cs typeface="+mn-cs"/>
              </a:defRPr>
            </a:pPr>
            <a:endParaRPr lang="en-US"/>
          </a:p>
        </c:txPr>
        <c:crossAx val="842622936"/>
        <c:crosses val="autoZero"/>
        <c:auto val="1"/>
        <c:lblAlgn val="ctr"/>
        <c:lblOffset val="100"/>
        <c:noMultiLvlLbl val="0"/>
      </c:catAx>
      <c:valAx>
        <c:axId val="842622936"/>
        <c:scaling>
          <c:orientation val="minMax"/>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GEO (Moz)</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_-&quot;$&quot;* #,##0_-;\-&quot;$&quot;* #,##0_-;_-&quot;$&quot;* &quot;-&quot;??_-;_-@_-"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crossAx val="842622280"/>
        <c:crosses val="autoZero"/>
        <c:crossBetween val="between"/>
        <c:dispUnits>
          <c:builtInUnit val="millions"/>
          <c:dispUnitsLbl>
            <c:layout>
              <c:manualLayout>
                <c:xMode val="edge"/>
                <c:yMode val="edge"/>
                <c:x val="0.87625233518425338"/>
                <c:y val="0.94399617174924955"/>
              </c:manualLayout>
            </c:layout>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sz="800">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chemeClr val="dk1"/>
                </a:solidFill>
                <a:latin typeface="+mn-lt"/>
                <a:ea typeface="+mn-ea"/>
                <a:cs typeface="+mn-cs"/>
              </a:defRPr>
            </a:pPr>
            <a:r>
              <a:rPr lang="en-US"/>
              <a:t>Market Cap vs P/CFPS</a:t>
            </a:r>
          </a:p>
        </c:rich>
      </c:tx>
      <c:overlay val="0"/>
      <c:spPr>
        <a:noFill/>
        <a:ln>
          <a:noFill/>
        </a:ln>
        <a:effectLst/>
      </c:spPr>
      <c:txPr>
        <a:bodyPr rot="0" spcFirstLastPara="1" vertOverflow="ellipsis" vert="horz" wrap="square" anchor="ctr" anchorCtr="1"/>
        <a:lstStyle/>
        <a:p>
          <a:pPr>
            <a:defRPr sz="960" b="0" i="0" u="none" strike="noStrike" kern="1200" spc="0" baseline="0">
              <a:solidFill>
                <a:schemeClr val="dk1"/>
              </a:solidFill>
              <a:latin typeface="+mn-lt"/>
              <a:ea typeface="+mn-ea"/>
              <a:cs typeface="+mn-cs"/>
            </a:defRPr>
          </a:pPr>
          <a:endParaRPr lang="en-US"/>
        </a:p>
      </c:txPr>
    </c:title>
    <c:autoTitleDeleted val="0"/>
    <c:plotArea>
      <c:layout/>
      <c:bubbleChart>
        <c:varyColors val="0"/>
        <c:ser>
          <c:idx val="0"/>
          <c:order val="0"/>
          <c:tx>
            <c:strRef>
              <c:f>'3) Profitability'!$D$7</c:f>
              <c:strCache>
                <c:ptCount val="1"/>
                <c:pt idx="0">
                  <c:v>Market Cap</c:v>
                </c:pt>
              </c:strCache>
            </c:strRef>
          </c:tx>
          <c:spPr>
            <a:solidFill>
              <a:schemeClr val="accent2">
                <a:lumMod val="60000"/>
                <a:lumOff val="40000"/>
              </a:schemeClr>
            </a:solidFill>
            <a:ln w="25400">
              <a:noFill/>
            </a:ln>
            <a:effectLst/>
          </c:spPr>
          <c:invertIfNegative val="0"/>
          <c:dLbls>
            <c:numFmt formatCode="#,##0.00" sourceLinked="0"/>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'3) Profitability'!$B$8:$B$36</c:f>
              <c:strCache>
                <c:ptCount val="29"/>
                <c:pt idx="0">
                  <c:v>Harte Gold Corp (XTSE:HRT)</c:v>
                </c:pt>
                <c:pt idx="1">
                  <c:v>TMAC Resources Inc (XTSE:TMR)</c:v>
                </c:pt>
                <c:pt idx="2">
                  <c:v>McEwen Mining Inc (XTSE:MUX)</c:v>
                </c:pt>
                <c:pt idx="3">
                  <c:v>Victoria Gold Corp (XTSE:VGCX)</c:v>
                </c:pt>
                <c:pt idx="4">
                  <c:v>New Gold Inc (XTSE:NGD)</c:v>
                </c:pt>
                <c:pt idx="5">
                  <c:v>K92 Mining Inc (XTSX:KNT)</c:v>
                </c:pt>
                <c:pt idx="6">
                  <c:v>Dundee Precious Metals Inc (XTSE:DPM)</c:v>
                </c:pt>
                <c:pt idx="7">
                  <c:v>Semafo Inc (XTSE:SMF)</c:v>
                </c:pt>
                <c:pt idx="8">
                  <c:v>Torex Gold Resources Inc (XTSE:TXG)</c:v>
                </c:pt>
                <c:pt idx="9">
                  <c:v>Wesdome Gold Mines Ltd (XTSE:WDO)</c:v>
                </c:pt>
                <c:pt idx="10">
                  <c:v>Centamin PLC (XTSE:CEE)</c:v>
                </c:pt>
                <c:pt idx="11">
                  <c:v>Teranga Gold Corp (XTSE:TGZ)</c:v>
                </c:pt>
                <c:pt idx="12">
                  <c:v>SSR Mining Inc (XTSE:SSRM)</c:v>
                </c:pt>
                <c:pt idx="13">
                  <c:v>Eldorado Gold Corp (XTSE:ELD)</c:v>
                </c:pt>
                <c:pt idx="14">
                  <c:v>Iamgold Corp (XTSE:IMG)</c:v>
                </c:pt>
                <c:pt idx="15">
                  <c:v>Pretium Resources Inc (XTSE:PVG)</c:v>
                </c:pt>
                <c:pt idx="16">
                  <c:v>Lundin Gold Inc (XTSE:LUG)</c:v>
                </c:pt>
                <c:pt idx="17">
                  <c:v>Equinox Gold Corp (XTSE:EQX)</c:v>
                </c:pt>
                <c:pt idx="18">
                  <c:v>Centerra Gold Inc (XTSE:CG)</c:v>
                </c:pt>
                <c:pt idx="19">
                  <c:v>Alamos Gold Inc (XNYS:AGI)</c:v>
                </c:pt>
                <c:pt idx="20">
                  <c:v>Yamana Gold Inc (XTSE:YRI)</c:v>
                </c:pt>
                <c:pt idx="21">
                  <c:v>B2Gold Corp (XTSE:BTO)</c:v>
                </c:pt>
                <c:pt idx="22">
                  <c:v>AngloGold Ashanti Ltd (XNYS:AU)</c:v>
                </c:pt>
                <c:pt idx="23">
                  <c:v>Kinross Gold Corp (XTSE:K)</c:v>
                </c:pt>
                <c:pt idx="24">
                  <c:v>Kirkland Lake Gold Ltd (XTSE:KL)</c:v>
                </c:pt>
                <c:pt idx="25">
                  <c:v>Agnico Eagle Mines Ltd (XTSE:AEM)</c:v>
                </c:pt>
                <c:pt idx="26">
                  <c:v>Franco-Nevada Corp (XTSE:FNV)</c:v>
                </c:pt>
                <c:pt idx="27">
                  <c:v>Newmont Corporation (XTSE:NGT)</c:v>
                </c:pt>
                <c:pt idx="28">
                  <c:v>Barrick Gold Corp (XTSE:ABX)</c:v>
                </c:pt>
              </c:strCache>
            </c:strRef>
          </c:xVal>
          <c:yVal>
            <c:numRef>
              <c:f>'3) Profitability'!$E$8:$E$36</c:f>
              <c:numCache>
                <c:formatCode>General</c:formatCode>
                <c:ptCount val="29"/>
                <c:pt idx="0">
                  <c:v>634.17289019222972</c:v>
                </c:pt>
                <c:pt idx="1">
                  <c:v>2.3943572132326807</c:v>
                </c:pt>
                <c:pt idx="2">
                  <c:v>4.7084617636235642</c:v>
                </c:pt>
                <c:pt idx="3">
                  <c:v>2.9217898907679687</c:v>
                </c:pt>
                <c:pt idx="4">
                  <c:v>7.7578632432313803</c:v>
                </c:pt>
                <c:pt idx="5">
                  <c:v>9.1401385382978617</c:v>
                </c:pt>
                <c:pt idx="6">
                  <c:v>4.7669779368601182</c:v>
                </c:pt>
                <c:pt idx="7">
                  <c:v>5.5163960277246602</c:v>
                </c:pt>
                <c:pt idx="8">
                  <c:v>4.5133955014598488</c:v>
                </c:pt>
                <c:pt idx="9">
                  <c:v>56.559848467368241</c:v>
                </c:pt>
                <c:pt idx="10">
                  <c:v>4.4970278463295399</c:v>
                </c:pt>
                <c:pt idx="11">
                  <c:v>8.5838864301800264</c:v>
                </c:pt>
                <c:pt idx="12">
                  <c:v>9.4942362988502058</c:v>
                </c:pt>
                <c:pt idx="13">
                  <c:v>5.5875390530869353</c:v>
                </c:pt>
                <c:pt idx="14">
                  <c:v>6.2458868535590915</c:v>
                </c:pt>
                <c:pt idx="15">
                  <c:v>10.175130024631518</c:v>
                </c:pt>
                <c:pt idx="16">
                  <c:v>8.0816086792846473</c:v>
                </c:pt>
                <c:pt idx="17">
                  <c:v>5.6962010617538876</c:v>
                </c:pt>
                <c:pt idx="18">
                  <c:v>4.9266114747484</c:v>
                </c:pt>
                <c:pt idx="19">
                  <c:v>16.025107042923349</c:v>
                </c:pt>
                <c:pt idx="20">
                  <c:v>9.7484395738086782</c:v>
                </c:pt>
                <c:pt idx="21">
                  <c:v>8.2974408795275281</c:v>
                </c:pt>
                <c:pt idx="22">
                  <c:v>5.5346834746017688</c:v>
                </c:pt>
                <c:pt idx="23">
                  <c:v>7.5940648196315976</c:v>
                </c:pt>
                <c:pt idx="24">
                  <c:v>14.042986438096861</c:v>
                </c:pt>
                <c:pt idx="25">
                  <c:v>16.248077138296431</c:v>
                </c:pt>
                <c:pt idx="26">
                  <c:v>46.221990108486843</c:v>
                </c:pt>
                <c:pt idx="27">
                  <c:v>12.766712570442197</c:v>
                </c:pt>
                <c:pt idx="28">
                  <c:v>19.282823597622841</c:v>
                </c:pt>
              </c:numCache>
            </c:numRef>
          </c:yVal>
          <c:bubbleSize>
            <c:numRef>
              <c:f>'3) Profitability'!$D$8:$D$36</c:f>
              <c:numCache>
                <c:formatCode>_-* #,##0_-;\-* #,##0_-;_-* "-"??_-;_-@_-</c:formatCode>
                <c:ptCount val="29"/>
                <c:pt idx="0">
                  <c:v>97.313829999999996</c:v>
                </c:pt>
                <c:pt idx="1">
                  <c:v>126.8386</c:v>
                </c:pt>
                <c:pt idx="2">
                  <c:v>378.41660000000002</c:v>
                </c:pt>
                <c:pt idx="3">
                  <c:v>469.94389999999999</c:v>
                </c:pt>
                <c:pt idx="4">
                  <c:v>673.53470000000004</c:v>
                </c:pt>
                <c:pt idx="5">
                  <c:v>857.61599999999999</c:v>
                </c:pt>
                <c:pt idx="6">
                  <c:v>1104.8869999999999</c:v>
                </c:pt>
                <c:pt idx="7">
                  <c:v>1179.777</c:v>
                </c:pt>
                <c:pt idx="8">
                  <c:v>1291.5509999999999</c:v>
                </c:pt>
                <c:pt idx="9">
                  <c:v>1348.1859999999999</c:v>
                </c:pt>
                <c:pt idx="10">
                  <c:v>1583.9780000000001</c:v>
                </c:pt>
                <c:pt idx="11">
                  <c:v>1587.5340000000001</c:v>
                </c:pt>
                <c:pt idx="12">
                  <c:v>1932.4259999999999</c:v>
                </c:pt>
                <c:pt idx="13">
                  <c:v>1990.627</c:v>
                </c:pt>
                <c:pt idx="14">
                  <c:v>2010.328</c:v>
                </c:pt>
                <c:pt idx="15">
                  <c:v>2039.2380000000001</c:v>
                </c:pt>
                <c:pt idx="16">
                  <c:v>2138.19</c:v>
                </c:pt>
                <c:pt idx="17">
                  <c:v>2256.4760000000001</c:v>
                </c:pt>
                <c:pt idx="18">
                  <c:v>2859.0729999999999</c:v>
                </c:pt>
                <c:pt idx="19">
                  <c:v>3750.355</c:v>
                </c:pt>
                <c:pt idx="20">
                  <c:v>5471.223</c:v>
                </c:pt>
                <c:pt idx="21">
                  <c:v>6529.8580000000002</c:v>
                </c:pt>
                <c:pt idx="22">
                  <c:v>8714.4380000000001</c:v>
                </c:pt>
                <c:pt idx="23">
                  <c:v>10860.91</c:v>
                </c:pt>
                <c:pt idx="24">
                  <c:v>15191.53</c:v>
                </c:pt>
                <c:pt idx="25">
                  <c:v>17240.53</c:v>
                </c:pt>
                <c:pt idx="26">
                  <c:v>31893.98</c:v>
                </c:pt>
                <c:pt idx="27">
                  <c:v>48281.46</c:v>
                </c:pt>
                <c:pt idx="28">
                  <c:v>59864.49</c:v>
                </c:pt>
              </c:numCache>
            </c:numRef>
          </c:bubbleSize>
          <c:bubble3D val="0"/>
          <c:extLst>
            <c:ext xmlns:c16="http://schemas.microsoft.com/office/drawing/2014/chart" uri="{C3380CC4-5D6E-409C-BE32-E72D297353CC}">
              <c16:uniqueId val="{00000000-FC8C-415D-AE7F-D18DA3951444}"/>
            </c:ext>
          </c:extLst>
        </c:ser>
        <c:dLbls>
          <c:dLblPos val="ctr"/>
          <c:showLegendKey val="0"/>
          <c:showVal val="1"/>
          <c:showCatName val="0"/>
          <c:showSerName val="0"/>
          <c:showPercent val="0"/>
          <c:showBubbleSize val="0"/>
        </c:dLbls>
        <c:bubbleScale val="100"/>
        <c:showNegBubbles val="0"/>
        <c:axId val="1161107776"/>
        <c:axId val="1161113680"/>
      </c:bubbleChart>
      <c:valAx>
        <c:axId val="11611077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Market Cap</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crossAx val="1161113680"/>
        <c:crosses val="autoZero"/>
        <c:crossBetween val="midCat"/>
      </c:valAx>
      <c:valAx>
        <c:axId val="1161113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P/CFPS</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crossAx val="1161107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sz="800">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chemeClr val="dk1"/>
                </a:solidFill>
                <a:latin typeface="+mn-lt"/>
                <a:ea typeface="+mn-ea"/>
                <a:cs typeface="+mn-cs"/>
              </a:defRPr>
            </a:pPr>
            <a:r>
              <a:rPr lang="en-US"/>
              <a:t>Market Cap vs P/E</a:t>
            </a:r>
          </a:p>
        </c:rich>
      </c:tx>
      <c:overlay val="0"/>
      <c:spPr>
        <a:noFill/>
        <a:ln>
          <a:noFill/>
        </a:ln>
        <a:effectLst/>
      </c:spPr>
      <c:txPr>
        <a:bodyPr rot="0" spcFirstLastPara="1" vertOverflow="ellipsis" vert="horz" wrap="square" anchor="ctr" anchorCtr="1"/>
        <a:lstStyle/>
        <a:p>
          <a:pPr>
            <a:defRPr sz="960" b="0" i="0" u="none" strike="noStrike" kern="1200" spc="0" baseline="0">
              <a:solidFill>
                <a:schemeClr val="dk1"/>
              </a:solidFill>
              <a:latin typeface="+mn-lt"/>
              <a:ea typeface="+mn-ea"/>
              <a:cs typeface="+mn-cs"/>
            </a:defRPr>
          </a:pPr>
          <a:endParaRPr lang="en-US"/>
        </a:p>
      </c:txPr>
    </c:title>
    <c:autoTitleDeleted val="0"/>
    <c:plotArea>
      <c:layout/>
      <c:bubbleChart>
        <c:varyColors val="0"/>
        <c:ser>
          <c:idx val="0"/>
          <c:order val="0"/>
          <c:tx>
            <c:strRef>
              <c:f>'3) Profitability'!$F$7</c:f>
              <c:strCache>
                <c:ptCount val="1"/>
                <c:pt idx="0">
                  <c:v>2019 P/E</c:v>
                </c:pt>
              </c:strCache>
            </c:strRef>
          </c:tx>
          <c:spPr>
            <a:solidFill>
              <a:schemeClr val="accent6">
                <a:lumMod val="60000"/>
                <a:lumOff val="40000"/>
              </a:schemeClr>
            </a:solidFill>
            <a:ln w="0">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'3) Profitability'!$B$8:$B$36</c:f>
              <c:strCache>
                <c:ptCount val="29"/>
                <c:pt idx="0">
                  <c:v>Harte Gold Corp (XTSE:HRT)</c:v>
                </c:pt>
                <c:pt idx="1">
                  <c:v>TMAC Resources Inc (XTSE:TMR)</c:v>
                </c:pt>
                <c:pt idx="2">
                  <c:v>McEwen Mining Inc (XTSE:MUX)</c:v>
                </c:pt>
                <c:pt idx="3">
                  <c:v>Victoria Gold Corp (XTSE:VGCX)</c:v>
                </c:pt>
                <c:pt idx="4">
                  <c:v>New Gold Inc (XTSE:NGD)</c:v>
                </c:pt>
                <c:pt idx="5">
                  <c:v>K92 Mining Inc (XTSX:KNT)</c:v>
                </c:pt>
                <c:pt idx="6">
                  <c:v>Dundee Precious Metals Inc (XTSE:DPM)</c:v>
                </c:pt>
                <c:pt idx="7">
                  <c:v>Semafo Inc (XTSE:SMF)</c:v>
                </c:pt>
                <c:pt idx="8">
                  <c:v>Torex Gold Resources Inc (XTSE:TXG)</c:v>
                </c:pt>
                <c:pt idx="9">
                  <c:v>Wesdome Gold Mines Ltd (XTSE:WDO)</c:v>
                </c:pt>
                <c:pt idx="10">
                  <c:v>Centamin PLC (XTSE:CEE)</c:v>
                </c:pt>
                <c:pt idx="11">
                  <c:v>Teranga Gold Corp (XTSE:TGZ)</c:v>
                </c:pt>
                <c:pt idx="12">
                  <c:v>SSR Mining Inc (XTSE:SSRM)</c:v>
                </c:pt>
                <c:pt idx="13">
                  <c:v>Eldorado Gold Corp (XTSE:ELD)</c:v>
                </c:pt>
                <c:pt idx="14">
                  <c:v>Iamgold Corp (XTSE:IMG)</c:v>
                </c:pt>
                <c:pt idx="15">
                  <c:v>Pretium Resources Inc (XTSE:PVG)</c:v>
                </c:pt>
                <c:pt idx="16">
                  <c:v>Lundin Gold Inc (XTSE:LUG)</c:v>
                </c:pt>
                <c:pt idx="17">
                  <c:v>Equinox Gold Corp (XTSE:EQX)</c:v>
                </c:pt>
                <c:pt idx="18">
                  <c:v>Centerra Gold Inc (XTSE:CG)</c:v>
                </c:pt>
                <c:pt idx="19">
                  <c:v>Alamos Gold Inc (XNYS:AGI)</c:v>
                </c:pt>
                <c:pt idx="20">
                  <c:v>Yamana Gold Inc (XTSE:YRI)</c:v>
                </c:pt>
                <c:pt idx="21">
                  <c:v>B2Gold Corp (XTSE:BTO)</c:v>
                </c:pt>
                <c:pt idx="22">
                  <c:v>AngloGold Ashanti Ltd (XNYS:AU)</c:v>
                </c:pt>
                <c:pt idx="23">
                  <c:v>Kinross Gold Corp (XTSE:K)</c:v>
                </c:pt>
                <c:pt idx="24">
                  <c:v>Kirkland Lake Gold Ltd (XTSE:KL)</c:v>
                </c:pt>
                <c:pt idx="25">
                  <c:v>Agnico Eagle Mines Ltd (XTSE:AEM)</c:v>
                </c:pt>
                <c:pt idx="26">
                  <c:v>Franco-Nevada Corp (XTSE:FNV)</c:v>
                </c:pt>
                <c:pt idx="27">
                  <c:v>Newmont Corporation (XTSE:NGT)</c:v>
                </c:pt>
                <c:pt idx="28">
                  <c:v>Barrick Gold Corp (XTSE:ABX)</c:v>
                </c:pt>
              </c:strCache>
            </c:strRef>
          </c:xVal>
          <c:yVal>
            <c:numRef>
              <c:f>'3) Profitability'!$F$8:$F$36</c:f>
              <c:numCache>
                <c:formatCode>_-"$"* #,##0_-;\-"$"* #,##0_-;_-"$"* "-"??_-;_-@_-</c:formatCode>
                <c:ptCount val="29"/>
                <c:pt idx="0">
                  <c:v>-1.4999999999999998</c:v>
                </c:pt>
                <c:pt idx="1">
                  <c:v>0</c:v>
                </c:pt>
                <c:pt idx="2">
                  <c:v>-9.7647058823529402</c:v>
                </c:pt>
                <c:pt idx="3">
                  <c:v>0</c:v>
                </c:pt>
                <c:pt idx="4">
                  <c:v>-9.5833333333333321</c:v>
                </c:pt>
                <c:pt idx="5">
                  <c:v>9.19</c:v>
                </c:pt>
                <c:pt idx="6">
                  <c:v>38.83</c:v>
                </c:pt>
                <c:pt idx="7">
                  <c:v>13.78</c:v>
                </c:pt>
                <c:pt idx="8">
                  <c:v>36.53</c:v>
                </c:pt>
                <c:pt idx="9">
                  <c:v>44.22</c:v>
                </c:pt>
                <c:pt idx="10">
                  <c:v>35.33</c:v>
                </c:pt>
                <c:pt idx="11">
                  <c:v>-22.64516129032258</c:v>
                </c:pt>
                <c:pt idx="12">
                  <c:v>68.319999999999993</c:v>
                </c:pt>
                <c:pt idx="13">
                  <c:v>20.450980392156861</c:v>
                </c:pt>
                <c:pt idx="14">
                  <c:v>-5.5113636363636358</c:v>
                </c:pt>
                <c:pt idx="15">
                  <c:v>92.18</c:v>
                </c:pt>
                <c:pt idx="16">
                  <c:v>0</c:v>
                </c:pt>
                <c:pt idx="17">
                  <c:v>-18.163636363636364</c:v>
                </c:pt>
                <c:pt idx="18">
                  <c:v>20.81</c:v>
                </c:pt>
                <c:pt idx="19">
                  <c:v>31.32</c:v>
                </c:pt>
                <c:pt idx="20">
                  <c:v>24.59</c:v>
                </c:pt>
                <c:pt idx="21">
                  <c:v>398.85</c:v>
                </c:pt>
                <c:pt idx="22">
                  <c:v>43.8</c:v>
                </c:pt>
                <c:pt idx="23">
                  <c:v>34.49</c:v>
                </c:pt>
                <c:pt idx="24">
                  <c:v>18.649999999999999</c:v>
                </c:pt>
                <c:pt idx="25">
                  <c:v>39.99</c:v>
                </c:pt>
                <c:pt idx="26">
                  <c:v>96.84</c:v>
                </c:pt>
                <c:pt idx="27">
                  <c:v>13.09</c:v>
                </c:pt>
                <c:pt idx="28">
                  <c:v>41.03</c:v>
                </c:pt>
              </c:numCache>
            </c:numRef>
          </c:yVal>
          <c:bubbleSize>
            <c:numRef>
              <c:f>'3) Profitability'!$D$8:$D$36</c:f>
              <c:numCache>
                <c:formatCode>_-* #,##0_-;\-* #,##0_-;_-* "-"??_-;_-@_-</c:formatCode>
                <c:ptCount val="29"/>
                <c:pt idx="0">
                  <c:v>97.313829999999996</c:v>
                </c:pt>
                <c:pt idx="1">
                  <c:v>126.8386</c:v>
                </c:pt>
                <c:pt idx="2">
                  <c:v>378.41660000000002</c:v>
                </c:pt>
                <c:pt idx="3">
                  <c:v>469.94389999999999</c:v>
                </c:pt>
                <c:pt idx="4">
                  <c:v>673.53470000000004</c:v>
                </c:pt>
                <c:pt idx="5">
                  <c:v>857.61599999999999</c:v>
                </c:pt>
                <c:pt idx="6">
                  <c:v>1104.8869999999999</c:v>
                </c:pt>
                <c:pt idx="7">
                  <c:v>1179.777</c:v>
                </c:pt>
                <c:pt idx="8">
                  <c:v>1291.5509999999999</c:v>
                </c:pt>
                <c:pt idx="9">
                  <c:v>1348.1859999999999</c:v>
                </c:pt>
                <c:pt idx="10">
                  <c:v>1583.9780000000001</c:v>
                </c:pt>
                <c:pt idx="11">
                  <c:v>1587.5340000000001</c:v>
                </c:pt>
                <c:pt idx="12">
                  <c:v>1932.4259999999999</c:v>
                </c:pt>
                <c:pt idx="13">
                  <c:v>1990.627</c:v>
                </c:pt>
                <c:pt idx="14">
                  <c:v>2010.328</c:v>
                </c:pt>
                <c:pt idx="15">
                  <c:v>2039.2380000000001</c:v>
                </c:pt>
                <c:pt idx="16">
                  <c:v>2138.19</c:v>
                </c:pt>
                <c:pt idx="17">
                  <c:v>2256.4760000000001</c:v>
                </c:pt>
                <c:pt idx="18">
                  <c:v>2859.0729999999999</c:v>
                </c:pt>
                <c:pt idx="19">
                  <c:v>3750.355</c:v>
                </c:pt>
                <c:pt idx="20">
                  <c:v>5471.223</c:v>
                </c:pt>
                <c:pt idx="21">
                  <c:v>6529.8580000000002</c:v>
                </c:pt>
                <c:pt idx="22">
                  <c:v>8714.4380000000001</c:v>
                </c:pt>
                <c:pt idx="23">
                  <c:v>10860.91</c:v>
                </c:pt>
                <c:pt idx="24">
                  <c:v>15191.53</c:v>
                </c:pt>
                <c:pt idx="25">
                  <c:v>17240.53</c:v>
                </c:pt>
                <c:pt idx="26">
                  <c:v>31893.98</c:v>
                </c:pt>
                <c:pt idx="27">
                  <c:v>48281.46</c:v>
                </c:pt>
                <c:pt idx="28">
                  <c:v>59864.49</c:v>
                </c:pt>
              </c:numCache>
            </c:numRef>
          </c:bubbleSize>
          <c:bubble3D val="0"/>
          <c:extLst>
            <c:ext xmlns:c16="http://schemas.microsoft.com/office/drawing/2014/chart" uri="{C3380CC4-5D6E-409C-BE32-E72D297353CC}">
              <c16:uniqueId val="{00000000-2B01-441C-9126-200B560999FF}"/>
            </c:ext>
          </c:extLst>
        </c:ser>
        <c:dLbls>
          <c:dLblPos val="ctr"/>
          <c:showLegendKey val="0"/>
          <c:showVal val="1"/>
          <c:showCatName val="0"/>
          <c:showSerName val="0"/>
          <c:showPercent val="0"/>
          <c:showBubbleSize val="0"/>
        </c:dLbls>
        <c:bubbleScale val="100"/>
        <c:showNegBubbles val="0"/>
        <c:axId val="1161107776"/>
        <c:axId val="1161113680"/>
      </c:bubbleChart>
      <c:valAx>
        <c:axId val="11611077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Market Cap</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crossAx val="1161113680"/>
        <c:crosses val="autoZero"/>
        <c:crossBetween val="midCat"/>
      </c:valAx>
      <c:valAx>
        <c:axId val="1161113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P/E</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_-&quot;$&quot;* #,##0_-;\-&quot;$&quot;* #,##0_-;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crossAx val="1161107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dk1"/>
      </a:solidFill>
      <a:prstDash val="solid"/>
      <a:miter lim="800000"/>
    </a:ln>
    <a:effectLst/>
  </c:spPr>
  <c:txPr>
    <a:bodyPr/>
    <a:lstStyle/>
    <a:p>
      <a:pPr>
        <a:defRPr sz="800">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96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0.35155045730704276"/>
          <c:y val="7.9892312957960815E-2"/>
          <c:w val="0.59415056404857469"/>
          <c:h val="0.82446242130647118"/>
        </c:manualLayout>
      </c:layout>
      <c:barChart>
        <c:barDir val="bar"/>
        <c:grouping val="clustered"/>
        <c:varyColors val="0"/>
        <c:ser>
          <c:idx val="0"/>
          <c:order val="0"/>
          <c:tx>
            <c:strRef>
              <c:f>'4) Reserve &amp; Risk'!$E$7</c:f>
              <c:strCache>
                <c:ptCount val="1"/>
                <c:pt idx="0">
                  <c:v>Reserve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Reserve &amp; Risk'!$B$8:$B$36</c:f>
              <c:strCache>
                <c:ptCount val="29"/>
                <c:pt idx="0">
                  <c:v>Franco-Nevada Corp (XTSE:FNV)</c:v>
                </c:pt>
                <c:pt idx="1">
                  <c:v>Wesdome Gold Mines Ltd (XTSE:WDO)</c:v>
                </c:pt>
                <c:pt idx="2">
                  <c:v>McEwen Mining Inc (XTSE:MUX)</c:v>
                </c:pt>
                <c:pt idx="3">
                  <c:v>Harte Gold Corp (XTSE:HRT)</c:v>
                </c:pt>
                <c:pt idx="4">
                  <c:v>Teranga Gold Corp (XTSE:TGZ)</c:v>
                </c:pt>
                <c:pt idx="5">
                  <c:v>Torex Gold Resources Inc (XTSE:TXG)</c:v>
                </c:pt>
                <c:pt idx="6">
                  <c:v>K92 Mining Inc (XTSX:KNT)</c:v>
                </c:pt>
                <c:pt idx="7">
                  <c:v>Dundee Precious Metals Inc (XTSE:DPM)</c:v>
                </c:pt>
                <c:pt idx="8">
                  <c:v>Pretium Resources Inc (XTSE:PVG)</c:v>
                </c:pt>
                <c:pt idx="9">
                  <c:v>Victoria Gold Corp (XTSE:VGCX)</c:v>
                </c:pt>
                <c:pt idx="10">
                  <c:v>Lundin Gold Inc (XTSE:LUG)</c:v>
                </c:pt>
                <c:pt idx="11">
                  <c:v>TMAC Resources Inc (XTSE:TMR)</c:v>
                </c:pt>
                <c:pt idx="12">
                  <c:v>SSR Mining Inc (XTSE:SSRM)</c:v>
                </c:pt>
                <c:pt idx="13">
                  <c:v>B2Gold Corp (XTSE:BTO)</c:v>
                </c:pt>
                <c:pt idx="14">
                  <c:v>Centamin PLC (XTSE:CEE)</c:v>
                </c:pt>
                <c:pt idx="15">
                  <c:v>Yamana Gold Inc (XTSE:YRI)</c:v>
                </c:pt>
                <c:pt idx="16">
                  <c:v>Alamos Gold Inc (XNYS:AGI)</c:v>
                </c:pt>
                <c:pt idx="17">
                  <c:v>Centerra Gold Inc (XTSE:CG)</c:v>
                </c:pt>
                <c:pt idx="18">
                  <c:v>New Gold Inc (XTSE:NGD)</c:v>
                </c:pt>
                <c:pt idx="19">
                  <c:v>Equinox Gold Corp (XTSE:EQX)</c:v>
                </c:pt>
                <c:pt idx="20">
                  <c:v>Eldorado Gold Corp (XTSE:ELD)</c:v>
                </c:pt>
                <c:pt idx="21">
                  <c:v>Iamgold Corp (XTSE:IMG)</c:v>
                </c:pt>
                <c:pt idx="22">
                  <c:v>Kirkland Lake Gold Ltd (XTSE:KL)</c:v>
                </c:pt>
                <c:pt idx="23">
                  <c:v>Agnico Eagle Mines Ltd (XTSE:AEM)</c:v>
                </c:pt>
                <c:pt idx="24">
                  <c:v>Kinross Gold Corp (XTSE:K)</c:v>
                </c:pt>
                <c:pt idx="25">
                  <c:v>Semafo Inc (XTSE:SMF)</c:v>
                </c:pt>
                <c:pt idx="26">
                  <c:v>AngloGold Ashanti Ltd (XNYS:AU)</c:v>
                </c:pt>
                <c:pt idx="27">
                  <c:v>Newmont Corporation (XTSE:NGT)</c:v>
                </c:pt>
                <c:pt idx="28">
                  <c:v>Barrick Gold Corp (XTSE:ABX)</c:v>
                </c:pt>
              </c:strCache>
            </c:strRef>
          </c:cat>
          <c:val>
            <c:numRef>
              <c:f>'4) Reserve &amp; Risk'!$E$8:$E$36</c:f>
              <c:numCache>
                <c:formatCode>0</c:formatCode>
                <c:ptCount val="29"/>
                <c:pt idx="0">
                  <c:v>0</c:v>
                </c:pt>
                <c:pt idx="1">
                  <c:v>0.5605</c:v>
                </c:pt>
                <c:pt idx="2">
                  <c:v>0.74</c:v>
                </c:pt>
                <c:pt idx="3">
                  <c:v>0.89</c:v>
                </c:pt>
                <c:pt idx="4">
                  <c:v>2.19</c:v>
                </c:pt>
                <c:pt idx="5">
                  <c:v>2.2400000000000002</c:v>
                </c:pt>
                <c:pt idx="6">
                  <c:v>2.4</c:v>
                </c:pt>
                <c:pt idx="7">
                  <c:v>2.5819999999999999</c:v>
                </c:pt>
                <c:pt idx="8">
                  <c:v>3.6</c:v>
                </c:pt>
                <c:pt idx="9">
                  <c:v>4.4000000000000004</c:v>
                </c:pt>
                <c:pt idx="10">
                  <c:v>4.8159999999999998</c:v>
                </c:pt>
                <c:pt idx="11">
                  <c:v>5.2</c:v>
                </c:pt>
                <c:pt idx="12">
                  <c:v>5.3760000000000003</c:v>
                </c:pt>
                <c:pt idx="13">
                  <c:v>5.82</c:v>
                </c:pt>
                <c:pt idx="14">
                  <c:v>7.25</c:v>
                </c:pt>
                <c:pt idx="15">
                  <c:v>7.8</c:v>
                </c:pt>
                <c:pt idx="16">
                  <c:v>9.7260000000000009</c:v>
                </c:pt>
                <c:pt idx="17">
                  <c:v>11.086</c:v>
                </c:pt>
                <c:pt idx="18">
                  <c:v>11.811</c:v>
                </c:pt>
                <c:pt idx="19">
                  <c:v>12.7</c:v>
                </c:pt>
                <c:pt idx="20">
                  <c:v>16.359000000000002</c:v>
                </c:pt>
                <c:pt idx="21">
                  <c:v>16.706</c:v>
                </c:pt>
                <c:pt idx="22">
                  <c:v>20.47</c:v>
                </c:pt>
                <c:pt idx="23">
                  <c:v>21.585000000000001</c:v>
                </c:pt>
                <c:pt idx="24">
                  <c:v>24.3</c:v>
                </c:pt>
                <c:pt idx="25">
                  <c:v>25.341000000000001</c:v>
                </c:pt>
                <c:pt idx="26">
                  <c:v>27</c:v>
                </c:pt>
                <c:pt idx="27">
                  <c:v>65.400000000000006</c:v>
                </c:pt>
                <c:pt idx="28">
                  <c:v>71</c:v>
                </c:pt>
              </c:numCache>
            </c:numRef>
          </c:val>
          <c:extLst>
            <c:ext xmlns:c16="http://schemas.microsoft.com/office/drawing/2014/chart" uri="{C3380CC4-5D6E-409C-BE32-E72D297353CC}">
              <c16:uniqueId val="{00000000-CECC-4AFD-AA1A-B7559CB54FE5}"/>
            </c:ext>
          </c:extLst>
        </c:ser>
        <c:dLbls>
          <c:showLegendKey val="0"/>
          <c:showVal val="0"/>
          <c:showCatName val="0"/>
          <c:showSerName val="0"/>
          <c:showPercent val="0"/>
          <c:showBubbleSize val="0"/>
        </c:dLbls>
        <c:gapWidth val="25"/>
        <c:axId val="842622280"/>
        <c:axId val="842622936"/>
      </c:barChart>
      <c:catAx>
        <c:axId val="842622280"/>
        <c:scaling>
          <c:orientation val="minMax"/>
        </c:scaling>
        <c:delete val="0"/>
        <c:axPos val="l"/>
        <c:title>
          <c:tx>
            <c:rich>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Company</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800" b="0" i="0" u="none" strike="noStrike" kern="1200" baseline="0">
                <a:solidFill>
                  <a:schemeClr val="dk1"/>
                </a:solidFill>
                <a:latin typeface="+mn-lt"/>
                <a:ea typeface="+mn-ea"/>
                <a:cs typeface="+mn-cs"/>
              </a:defRPr>
            </a:pPr>
            <a:endParaRPr lang="en-US"/>
          </a:p>
        </c:txPr>
        <c:crossAx val="842622936"/>
        <c:crosses val="autoZero"/>
        <c:auto val="1"/>
        <c:lblAlgn val="ctr"/>
        <c:lblOffset val="100"/>
        <c:noMultiLvlLbl val="0"/>
      </c:catAx>
      <c:valAx>
        <c:axId val="842622936"/>
        <c:scaling>
          <c:orientation val="minMax"/>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GEO (Moz)</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crossAx val="842622280"/>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sz="800">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96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0.35155045730704276"/>
          <c:y val="7.9892312957960815E-2"/>
          <c:w val="0.59415056404857469"/>
          <c:h val="0.82446242130647118"/>
        </c:manualLayout>
      </c:layout>
      <c:barChart>
        <c:barDir val="bar"/>
        <c:grouping val="clustered"/>
        <c:varyColors val="0"/>
        <c:ser>
          <c:idx val="0"/>
          <c:order val="0"/>
          <c:tx>
            <c:strRef>
              <c:f>'4) Reserve &amp; Risk'!$F$7</c:f>
              <c:strCache>
                <c:ptCount val="1"/>
                <c:pt idx="0">
                  <c:v>Risk Rating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Reserve &amp; Risk'!$B$8:$B$36</c:f>
              <c:strCache>
                <c:ptCount val="29"/>
                <c:pt idx="0">
                  <c:v>Franco-Nevada Corp (XTSE:FNV)</c:v>
                </c:pt>
                <c:pt idx="1">
                  <c:v>Wesdome Gold Mines Ltd (XTSE:WDO)</c:v>
                </c:pt>
                <c:pt idx="2">
                  <c:v>McEwen Mining Inc (XTSE:MUX)</c:v>
                </c:pt>
                <c:pt idx="3">
                  <c:v>Harte Gold Corp (XTSE:HRT)</c:v>
                </c:pt>
                <c:pt idx="4">
                  <c:v>Teranga Gold Corp (XTSE:TGZ)</c:v>
                </c:pt>
                <c:pt idx="5">
                  <c:v>Torex Gold Resources Inc (XTSE:TXG)</c:v>
                </c:pt>
                <c:pt idx="6">
                  <c:v>K92 Mining Inc (XTSX:KNT)</c:v>
                </c:pt>
                <c:pt idx="7">
                  <c:v>Dundee Precious Metals Inc (XTSE:DPM)</c:v>
                </c:pt>
                <c:pt idx="8">
                  <c:v>Pretium Resources Inc (XTSE:PVG)</c:v>
                </c:pt>
                <c:pt idx="9">
                  <c:v>Victoria Gold Corp (XTSE:VGCX)</c:v>
                </c:pt>
                <c:pt idx="10">
                  <c:v>Lundin Gold Inc (XTSE:LUG)</c:v>
                </c:pt>
                <c:pt idx="11">
                  <c:v>TMAC Resources Inc (XTSE:TMR)</c:v>
                </c:pt>
                <c:pt idx="12">
                  <c:v>SSR Mining Inc (XTSE:SSRM)</c:v>
                </c:pt>
                <c:pt idx="13">
                  <c:v>B2Gold Corp (XTSE:BTO)</c:v>
                </c:pt>
                <c:pt idx="14">
                  <c:v>Centamin PLC (XTSE:CEE)</c:v>
                </c:pt>
                <c:pt idx="15">
                  <c:v>Yamana Gold Inc (XTSE:YRI)</c:v>
                </c:pt>
                <c:pt idx="16">
                  <c:v>Alamos Gold Inc (XNYS:AGI)</c:v>
                </c:pt>
                <c:pt idx="17">
                  <c:v>Centerra Gold Inc (XTSE:CG)</c:v>
                </c:pt>
                <c:pt idx="18">
                  <c:v>New Gold Inc (XTSE:NGD)</c:v>
                </c:pt>
                <c:pt idx="19">
                  <c:v>Equinox Gold Corp (XTSE:EQX)</c:v>
                </c:pt>
                <c:pt idx="20">
                  <c:v>Eldorado Gold Corp (XTSE:ELD)</c:v>
                </c:pt>
                <c:pt idx="21">
                  <c:v>Iamgold Corp (XTSE:IMG)</c:v>
                </c:pt>
                <c:pt idx="22">
                  <c:v>Kirkland Lake Gold Ltd (XTSE:KL)</c:v>
                </c:pt>
                <c:pt idx="23">
                  <c:v>Agnico Eagle Mines Ltd (XTSE:AEM)</c:v>
                </c:pt>
                <c:pt idx="24">
                  <c:v>Kinross Gold Corp (XTSE:K)</c:v>
                </c:pt>
                <c:pt idx="25">
                  <c:v>Semafo Inc (XTSE:SMF)</c:v>
                </c:pt>
                <c:pt idx="26">
                  <c:v>AngloGold Ashanti Ltd (XNYS:AU)</c:v>
                </c:pt>
                <c:pt idx="27">
                  <c:v>Newmont Corporation (XTSE:NGT)</c:v>
                </c:pt>
                <c:pt idx="28">
                  <c:v>Barrick Gold Corp (XTSE:ABX)</c:v>
                </c:pt>
              </c:strCache>
            </c:strRef>
          </c:cat>
          <c:val>
            <c:numRef>
              <c:f>'4) Reserve &amp; Risk'!$F$8:$F$36</c:f>
              <c:numCache>
                <c:formatCode>0</c:formatCode>
                <c:ptCount val="29"/>
                <c:pt idx="0">
                  <c:v>71.8</c:v>
                </c:pt>
                <c:pt idx="1">
                  <c:v>77.17</c:v>
                </c:pt>
                <c:pt idx="2">
                  <c:v>69.291951219512185</c:v>
                </c:pt>
                <c:pt idx="3">
                  <c:v>77.17</c:v>
                </c:pt>
                <c:pt idx="4">
                  <c:v>69.176892253511355</c:v>
                </c:pt>
                <c:pt idx="5">
                  <c:v>67.239999999999995</c:v>
                </c:pt>
                <c:pt idx="6">
                  <c:v>65</c:v>
                </c:pt>
                <c:pt idx="7">
                  <c:v>58.340756756756761</c:v>
                </c:pt>
                <c:pt idx="8">
                  <c:v>81</c:v>
                </c:pt>
                <c:pt idx="9">
                  <c:v>75</c:v>
                </c:pt>
                <c:pt idx="10">
                  <c:v>61.54</c:v>
                </c:pt>
                <c:pt idx="11">
                  <c:v>77.27</c:v>
                </c:pt>
                <c:pt idx="12">
                  <c:v>73.572779317647061</c:v>
                </c:pt>
                <c:pt idx="13">
                  <c:v>45.354572834994777</c:v>
                </c:pt>
                <c:pt idx="14">
                  <c:v>70</c:v>
                </c:pt>
                <c:pt idx="15">
                  <c:v>66.715699999999998</c:v>
                </c:pt>
                <c:pt idx="16">
                  <c:v>74.234820982514577</c:v>
                </c:pt>
                <c:pt idx="17">
                  <c:v>73.357142857142861</c:v>
                </c:pt>
                <c:pt idx="18">
                  <c:v>79.146907216494839</c:v>
                </c:pt>
                <c:pt idx="19">
                  <c:v>63.12</c:v>
                </c:pt>
                <c:pt idx="20">
                  <c:v>78.540656326695853</c:v>
                </c:pt>
                <c:pt idx="21">
                  <c:v>67.902739726027406</c:v>
                </c:pt>
                <c:pt idx="22">
                  <c:v>70.416270400711241</c:v>
                </c:pt>
                <c:pt idx="23">
                  <c:v>74.853145400593462</c:v>
                </c:pt>
                <c:pt idx="24">
                  <c:v>70.135273267521782</c:v>
                </c:pt>
                <c:pt idx="25">
                  <c:v>63.253588516746404</c:v>
                </c:pt>
                <c:pt idx="26">
                  <c:v>65.737609876543203</c:v>
                </c:pt>
                <c:pt idx="27">
                  <c:v>76.067219167321298</c:v>
                </c:pt>
                <c:pt idx="28">
                  <c:v>58.549534820824881</c:v>
                </c:pt>
              </c:numCache>
            </c:numRef>
          </c:val>
          <c:extLst>
            <c:ext xmlns:c16="http://schemas.microsoft.com/office/drawing/2014/chart" uri="{C3380CC4-5D6E-409C-BE32-E72D297353CC}">
              <c16:uniqueId val="{00000000-93D6-4F4B-9F5B-8F8BF57CF685}"/>
            </c:ext>
          </c:extLst>
        </c:ser>
        <c:dLbls>
          <c:dLblPos val="inBase"/>
          <c:showLegendKey val="0"/>
          <c:showVal val="1"/>
          <c:showCatName val="0"/>
          <c:showSerName val="0"/>
          <c:showPercent val="0"/>
          <c:showBubbleSize val="0"/>
        </c:dLbls>
        <c:gapWidth val="25"/>
        <c:axId val="842622280"/>
        <c:axId val="842622936"/>
      </c:barChart>
      <c:catAx>
        <c:axId val="842622280"/>
        <c:scaling>
          <c:orientation val="minMax"/>
        </c:scaling>
        <c:delete val="0"/>
        <c:axPos val="l"/>
        <c:title>
          <c:tx>
            <c:rich>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Company</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800" b="0" i="0" u="none" strike="noStrike" kern="1200" baseline="0">
                <a:solidFill>
                  <a:schemeClr val="dk1"/>
                </a:solidFill>
                <a:latin typeface="+mn-lt"/>
                <a:ea typeface="+mn-ea"/>
                <a:cs typeface="+mn-cs"/>
              </a:defRPr>
            </a:pPr>
            <a:endParaRPr lang="en-US"/>
          </a:p>
        </c:txPr>
        <c:crossAx val="842622936"/>
        <c:crosses val="autoZero"/>
        <c:auto val="1"/>
        <c:lblAlgn val="ctr"/>
        <c:lblOffset val="100"/>
        <c:noMultiLvlLbl val="0"/>
      </c:catAx>
      <c:valAx>
        <c:axId val="842622936"/>
        <c:scaling>
          <c:orientation val="minMax"/>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r>
                  <a:rPr lang="en-CA"/>
                  <a:t>GEO (Moz)</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title>
        <c:numFmt formatCode="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en-US"/>
          </a:p>
        </c:txPr>
        <c:crossAx val="842622280"/>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sz="800">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Current</a:t>
            </a:r>
            <a:r>
              <a:rPr lang="en-CA" baseline="0"/>
              <a:t> Ratio</a:t>
            </a:r>
            <a:endParaRPr lang="en-CA"/>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'DS Tables'!$C$3</c:f>
              <c:strCache>
                <c:ptCount val="1"/>
                <c:pt idx="0">
                  <c:v>Current Ratio</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5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'DS Tables'!$A$4:$A$32</c:f>
              <c:strCache>
                <c:ptCount val="5"/>
                <c:pt idx="0">
                  <c:v> Franco-Nevada Corp (XTSE:FNV) </c:v>
                </c:pt>
                <c:pt idx="1">
                  <c:v> Barrick Gold Corp (XTSE:ABX) </c:v>
                </c:pt>
                <c:pt idx="2">
                  <c:v> Newmont Corporation (XTSE:NGT) </c:v>
                </c:pt>
                <c:pt idx="3">
                  <c:v> Kirkland Lake Gold Ltd (XTSE:KL) </c:v>
                </c:pt>
                <c:pt idx="4">
                  <c:v> Agnico Eagle Mines Ltd (XTSE:AEM) </c:v>
                </c:pt>
              </c:strCache>
            </c:strRef>
          </c:cat>
          <c:val>
            <c:numRef>
              <c:f>'DS Tables'!$C$4:$C$32</c:f>
              <c:numCache>
                <c:formatCode>_(* #,##0.00_);_(* \(#,##0.00\);_(* "-"??_);_(@_)</c:formatCode>
                <c:ptCount val="5"/>
                <c:pt idx="0">
                  <c:v>5.2641509433962268</c:v>
                </c:pt>
                <c:pt idx="1">
                  <c:v>2.8985690235690234</c:v>
                </c:pt>
                <c:pt idx="2">
                  <c:v>2.629769392033543</c:v>
                </c:pt>
                <c:pt idx="3">
                  <c:v>1.9064748201438848</c:v>
                </c:pt>
                <c:pt idx="4">
                  <c:v>1.5386597938144331</c:v>
                </c:pt>
              </c:numCache>
            </c:numRef>
          </c:val>
          <c:extLst>
            <c:ext xmlns:c16="http://schemas.microsoft.com/office/drawing/2014/chart" uri="{C3380CC4-5D6E-409C-BE32-E72D297353CC}">
              <c16:uniqueId val="{00000000-0AA2-448B-A74D-20FFC45E5A51}"/>
            </c:ext>
          </c:extLst>
        </c:ser>
        <c:dLbls>
          <c:dLblPos val="outEnd"/>
          <c:showLegendKey val="0"/>
          <c:showVal val="1"/>
          <c:showCatName val="0"/>
          <c:showSerName val="0"/>
          <c:showPercent val="0"/>
          <c:showBubbleSize val="0"/>
        </c:dLbls>
        <c:gapWidth val="444"/>
        <c:axId val="851695592"/>
        <c:axId val="851693624"/>
      </c:barChart>
      <c:lineChart>
        <c:grouping val="standard"/>
        <c:varyColors val="0"/>
        <c:ser>
          <c:idx val="1"/>
          <c:order val="1"/>
          <c:tx>
            <c:strRef>
              <c:f>'DS Tables'!$G$3</c:f>
              <c:strCache>
                <c:ptCount val="1"/>
                <c:pt idx="0">
                  <c:v>Current Ratio Average</c:v>
                </c:pt>
              </c:strCache>
            </c:strRef>
          </c:tx>
          <c:spPr>
            <a:ln w="22225" cap="rnd">
              <a:solidFill>
                <a:schemeClr val="accent2"/>
              </a:solidFill>
              <a:round/>
            </a:ln>
            <a:effectLst/>
          </c:spPr>
          <c:marker>
            <c:symbol val="none"/>
          </c:marker>
          <c:val>
            <c:numRef>
              <c:f>'DS Tables'!$G$4:$G$32</c:f>
              <c:numCache>
                <c:formatCode>_(* #,##0.00_);_(* \(#,##0.00\);_(* "-"??_);_(@_)</c:formatCode>
                <c:ptCount val="5"/>
                <c:pt idx="0">
                  <c:v>2.8475247945914224</c:v>
                </c:pt>
                <c:pt idx="1">
                  <c:v>2.8475247945914224</c:v>
                </c:pt>
                <c:pt idx="2">
                  <c:v>2.8475247945914224</c:v>
                </c:pt>
                <c:pt idx="3">
                  <c:v>2.8475247945914224</c:v>
                </c:pt>
                <c:pt idx="4">
                  <c:v>2.8475247945914224</c:v>
                </c:pt>
              </c:numCache>
            </c:numRef>
          </c:val>
          <c:smooth val="0"/>
          <c:extLst>
            <c:ext xmlns:c16="http://schemas.microsoft.com/office/drawing/2014/chart" uri="{C3380CC4-5D6E-409C-BE32-E72D297353CC}">
              <c16:uniqueId val="{00000004-0AA2-448B-A74D-20FFC45E5A51}"/>
            </c:ext>
          </c:extLst>
        </c:ser>
        <c:dLbls>
          <c:showLegendKey val="0"/>
          <c:showVal val="0"/>
          <c:showCatName val="0"/>
          <c:showSerName val="0"/>
          <c:showPercent val="0"/>
          <c:showBubbleSize val="0"/>
        </c:dLbls>
        <c:marker val="1"/>
        <c:smooth val="0"/>
        <c:axId val="851695592"/>
        <c:axId val="851693624"/>
      </c:lineChart>
      <c:catAx>
        <c:axId val="851695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cap="all" baseline="0">
                    <a:solidFill>
                      <a:schemeClr val="tx1">
                        <a:lumMod val="65000"/>
                        <a:lumOff val="35000"/>
                      </a:schemeClr>
                    </a:solidFill>
                    <a:latin typeface="+mn-lt"/>
                    <a:ea typeface="+mn-ea"/>
                    <a:cs typeface="+mn-cs"/>
                  </a:defRPr>
                </a:pPr>
                <a:r>
                  <a:rPr lang="en-CA" sz="1050" b="1"/>
                  <a:t>Company</a:t>
                </a:r>
              </a:p>
            </c:rich>
          </c:tx>
          <c:overlay val="0"/>
          <c:spPr>
            <a:noFill/>
            <a:ln>
              <a:noFill/>
            </a:ln>
            <a:effectLst/>
          </c:spPr>
          <c:txPr>
            <a:bodyPr rot="0" spcFirstLastPara="1" vertOverflow="ellipsis" vert="horz" wrap="square" anchor="ctr" anchorCtr="1"/>
            <a:lstStyle/>
            <a:p>
              <a:pPr>
                <a:defRPr sz="1050" b="1"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cap="all" spc="120" normalizeH="0" baseline="0">
                <a:solidFill>
                  <a:schemeClr val="tx1">
                    <a:lumMod val="65000"/>
                    <a:lumOff val="35000"/>
                  </a:schemeClr>
                </a:solidFill>
                <a:latin typeface="+mn-lt"/>
                <a:ea typeface="+mn-ea"/>
                <a:cs typeface="+mn-cs"/>
              </a:defRPr>
            </a:pPr>
            <a:endParaRPr lang="en-US"/>
          </a:p>
        </c:txPr>
        <c:crossAx val="851693624"/>
        <c:crosses val="autoZero"/>
        <c:auto val="1"/>
        <c:lblAlgn val="ctr"/>
        <c:lblOffset val="100"/>
        <c:noMultiLvlLbl val="0"/>
      </c:catAx>
      <c:valAx>
        <c:axId val="851693624"/>
        <c:scaling>
          <c:orientation val="minMax"/>
        </c:scaling>
        <c:delete val="1"/>
        <c:axPos val="l"/>
        <c:title>
          <c:tx>
            <c:rich>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CA" sz="1000"/>
                  <a:t>Cash Rario = Current Assets/ Current Liabilities</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crossAx val="851695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Cash Ratio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'DS Tables'!$D$3</c:f>
              <c:strCache>
                <c:ptCount val="1"/>
                <c:pt idx="0">
                  <c:v>Cash Ratio</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5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'DS Tables'!$A$4:$A$32</c:f>
              <c:strCache>
                <c:ptCount val="5"/>
                <c:pt idx="0">
                  <c:v> Franco-Nevada Corp (XTSE:FNV) </c:v>
                </c:pt>
                <c:pt idx="1">
                  <c:v> Barrick Gold Corp (XTSE:ABX) </c:v>
                </c:pt>
                <c:pt idx="2">
                  <c:v> Newmont Corporation (XTSE:NGT) </c:v>
                </c:pt>
                <c:pt idx="3">
                  <c:v> Kirkland Lake Gold Ltd (XTSE:KL) </c:v>
                </c:pt>
                <c:pt idx="4">
                  <c:v> Agnico Eagle Mines Ltd (XTSE:AEM) </c:v>
                </c:pt>
              </c:strCache>
            </c:strRef>
          </c:cat>
          <c:val>
            <c:numRef>
              <c:f>'DS Tables'!$D$4:$D$32</c:f>
              <c:numCache>
                <c:formatCode>_(* #,##0.00_);_(* \(#,##0.00\);_(* "-"??_);_(@_)</c:formatCode>
                <c:ptCount val="5"/>
                <c:pt idx="0">
                  <c:v>2.4905660377358489</c:v>
                </c:pt>
                <c:pt idx="1">
                  <c:v>1.3947811447811447</c:v>
                </c:pt>
                <c:pt idx="2">
                  <c:v>1.0398322851153039</c:v>
                </c:pt>
                <c:pt idx="3">
                  <c:v>1.6954436450839327</c:v>
                </c:pt>
                <c:pt idx="4">
                  <c:v>0.41494845360824745</c:v>
                </c:pt>
              </c:numCache>
            </c:numRef>
          </c:val>
          <c:extLst>
            <c:ext xmlns:c16="http://schemas.microsoft.com/office/drawing/2014/chart" uri="{C3380CC4-5D6E-409C-BE32-E72D297353CC}">
              <c16:uniqueId val="{00000000-EFB9-4CD5-AA37-75FA889CB987}"/>
            </c:ext>
          </c:extLst>
        </c:ser>
        <c:dLbls>
          <c:dLblPos val="outEnd"/>
          <c:showLegendKey val="0"/>
          <c:showVal val="1"/>
          <c:showCatName val="0"/>
          <c:showSerName val="0"/>
          <c:showPercent val="0"/>
          <c:showBubbleSize val="0"/>
        </c:dLbls>
        <c:gapWidth val="444"/>
        <c:axId val="851695592"/>
        <c:axId val="851693624"/>
      </c:barChart>
      <c:lineChart>
        <c:grouping val="standard"/>
        <c:varyColors val="0"/>
        <c:ser>
          <c:idx val="1"/>
          <c:order val="1"/>
          <c:tx>
            <c:strRef>
              <c:f>'DS Tables'!$H$3</c:f>
              <c:strCache>
                <c:ptCount val="1"/>
                <c:pt idx="0">
                  <c:v>Cash Ratio Average</c:v>
                </c:pt>
              </c:strCache>
            </c:strRef>
          </c:tx>
          <c:spPr>
            <a:ln w="22225" cap="rnd">
              <a:solidFill>
                <a:schemeClr val="accent2"/>
              </a:solidFill>
              <a:round/>
            </a:ln>
            <a:effectLst/>
          </c:spPr>
          <c:marker>
            <c:symbol val="none"/>
          </c:marker>
          <c:val>
            <c:numRef>
              <c:f>'DS Tables'!$H$4:$H$32</c:f>
              <c:numCache>
                <c:formatCode>_(* #,##0.00_);_(* \(#,##0.00\);_(* "-"??_);_(@_)</c:formatCode>
                <c:ptCount val="5"/>
                <c:pt idx="0">
                  <c:v>1.4071143132648956</c:v>
                </c:pt>
                <c:pt idx="1">
                  <c:v>1.4071143132648956</c:v>
                </c:pt>
                <c:pt idx="2">
                  <c:v>1.4071143132648956</c:v>
                </c:pt>
                <c:pt idx="3">
                  <c:v>1.4071143132648956</c:v>
                </c:pt>
                <c:pt idx="4">
                  <c:v>1.4071143132648956</c:v>
                </c:pt>
              </c:numCache>
            </c:numRef>
          </c:val>
          <c:smooth val="0"/>
          <c:extLst>
            <c:ext xmlns:c16="http://schemas.microsoft.com/office/drawing/2014/chart" uri="{C3380CC4-5D6E-409C-BE32-E72D297353CC}">
              <c16:uniqueId val="{00000001-EFB9-4CD5-AA37-75FA889CB987}"/>
            </c:ext>
          </c:extLst>
        </c:ser>
        <c:dLbls>
          <c:showLegendKey val="0"/>
          <c:showVal val="0"/>
          <c:showCatName val="0"/>
          <c:showSerName val="0"/>
          <c:showPercent val="0"/>
          <c:showBubbleSize val="0"/>
        </c:dLbls>
        <c:marker val="1"/>
        <c:smooth val="0"/>
        <c:axId val="851695592"/>
        <c:axId val="851693624"/>
      </c:lineChart>
      <c:catAx>
        <c:axId val="851695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cap="all" baseline="0">
                    <a:solidFill>
                      <a:schemeClr val="tx1">
                        <a:lumMod val="65000"/>
                        <a:lumOff val="35000"/>
                      </a:schemeClr>
                    </a:solidFill>
                    <a:latin typeface="+mn-lt"/>
                    <a:ea typeface="+mn-ea"/>
                    <a:cs typeface="+mn-cs"/>
                  </a:defRPr>
                </a:pPr>
                <a:r>
                  <a:rPr lang="en-CA" sz="1050"/>
                  <a:t>Company</a:t>
                </a:r>
              </a:p>
            </c:rich>
          </c:tx>
          <c:overlay val="0"/>
          <c:spPr>
            <a:noFill/>
            <a:ln>
              <a:noFill/>
            </a:ln>
            <a:effectLst/>
          </c:spPr>
          <c:txPr>
            <a:bodyPr rot="0" spcFirstLastPara="1" vertOverflow="ellipsis" vert="horz" wrap="square" anchor="ctr" anchorCtr="1"/>
            <a:lstStyle/>
            <a:p>
              <a:pPr>
                <a:defRPr sz="105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cap="all" spc="120" normalizeH="0" baseline="0">
                <a:solidFill>
                  <a:schemeClr val="tx1">
                    <a:lumMod val="65000"/>
                    <a:lumOff val="35000"/>
                  </a:schemeClr>
                </a:solidFill>
                <a:latin typeface="+mn-lt"/>
                <a:ea typeface="+mn-ea"/>
                <a:cs typeface="+mn-cs"/>
              </a:defRPr>
            </a:pPr>
            <a:endParaRPr lang="en-US"/>
          </a:p>
        </c:txPr>
        <c:crossAx val="851693624"/>
        <c:crosses val="autoZero"/>
        <c:auto val="1"/>
        <c:lblAlgn val="ctr"/>
        <c:lblOffset val="100"/>
        <c:noMultiLvlLbl val="0"/>
      </c:catAx>
      <c:valAx>
        <c:axId val="851693624"/>
        <c:scaling>
          <c:orientation val="minMax"/>
        </c:scaling>
        <c:delete val="1"/>
        <c:axPos val="l"/>
        <c:title>
          <c:tx>
            <c:rich>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CA" sz="1000"/>
                  <a:t>Current Ratio = Cash &amp; Cash Equivalent/Current</a:t>
                </a:r>
                <a:r>
                  <a:rPr lang="en-CA" sz="1000" baseline="0"/>
                  <a:t> Liabilities</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crossAx val="851695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Debt</a:t>
            </a:r>
            <a:r>
              <a:rPr lang="en-CA" baseline="0"/>
              <a:t>-Equity</a:t>
            </a:r>
            <a:endParaRPr lang="en-CA"/>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'DS Tables'!$E$3</c:f>
              <c:strCache>
                <c:ptCount val="1"/>
                <c:pt idx="0">
                  <c:v>Debt-Equity</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5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'DS Tables'!$A$4:$A$32</c:f>
              <c:strCache>
                <c:ptCount val="5"/>
                <c:pt idx="0">
                  <c:v> Franco-Nevada Corp (XTSE:FNV) </c:v>
                </c:pt>
                <c:pt idx="1">
                  <c:v> Barrick Gold Corp (XTSE:ABX) </c:v>
                </c:pt>
                <c:pt idx="2">
                  <c:v> Newmont Corporation (XTSE:NGT) </c:v>
                </c:pt>
                <c:pt idx="3">
                  <c:v> Kirkland Lake Gold Ltd (XTSE:KL) </c:v>
                </c:pt>
                <c:pt idx="4">
                  <c:v> Agnico Eagle Mines Ltd (XTSE:AEM) </c:v>
                </c:pt>
              </c:strCache>
            </c:strRef>
          </c:cat>
          <c:val>
            <c:numRef>
              <c:f>'DS Tables'!$E$4:$E$32</c:f>
              <c:numCache>
                <c:formatCode>_(* #,##0.00_);_(* \(#,##0.00\);_(* "-"??_);_(@_)</c:formatCode>
                <c:ptCount val="5"/>
                <c:pt idx="0">
                  <c:v>4.3065981825365467E-2</c:v>
                </c:pt>
                <c:pt idx="1">
                  <c:v>1.0712952594251586</c:v>
                </c:pt>
                <c:pt idx="2">
                  <c:v>0.86619981325863682</c:v>
                </c:pt>
                <c:pt idx="3">
                  <c:v>0.40781507980187121</c:v>
                </c:pt>
                <c:pt idx="4">
                  <c:v>0.71948356807511737</c:v>
                </c:pt>
              </c:numCache>
            </c:numRef>
          </c:val>
          <c:extLst>
            <c:ext xmlns:c16="http://schemas.microsoft.com/office/drawing/2014/chart" uri="{C3380CC4-5D6E-409C-BE32-E72D297353CC}">
              <c16:uniqueId val="{00000000-6343-434A-9BA9-A4E1FC1D74DD}"/>
            </c:ext>
          </c:extLst>
        </c:ser>
        <c:dLbls>
          <c:dLblPos val="outEnd"/>
          <c:showLegendKey val="0"/>
          <c:showVal val="1"/>
          <c:showCatName val="0"/>
          <c:showSerName val="0"/>
          <c:showPercent val="0"/>
          <c:showBubbleSize val="0"/>
        </c:dLbls>
        <c:gapWidth val="444"/>
        <c:axId val="851695592"/>
        <c:axId val="851693624"/>
      </c:barChart>
      <c:lineChart>
        <c:grouping val="standard"/>
        <c:varyColors val="0"/>
        <c:ser>
          <c:idx val="1"/>
          <c:order val="1"/>
          <c:tx>
            <c:strRef>
              <c:f>'DS Tables'!$I$3</c:f>
              <c:strCache>
                <c:ptCount val="1"/>
                <c:pt idx="0">
                  <c:v>Debt-Equity Average</c:v>
                </c:pt>
              </c:strCache>
            </c:strRef>
          </c:tx>
          <c:spPr>
            <a:ln w="22225" cap="rnd">
              <a:solidFill>
                <a:schemeClr val="accent2"/>
              </a:solidFill>
              <a:round/>
            </a:ln>
            <a:effectLst/>
          </c:spPr>
          <c:marker>
            <c:symbol val="none"/>
          </c:marker>
          <c:val>
            <c:numRef>
              <c:f>'DS Tables'!$I$4:$I$32</c:f>
              <c:numCache>
                <c:formatCode>_(* #,##0.00_);_(* \(#,##0.00\);_(* "-"??_);_(@_)</c:formatCode>
                <c:ptCount val="5"/>
                <c:pt idx="0">
                  <c:v>0.62157194047722997</c:v>
                </c:pt>
                <c:pt idx="1">
                  <c:v>0.62157194047722997</c:v>
                </c:pt>
                <c:pt idx="2">
                  <c:v>0.62157194047722997</c:v>
                </c:pt>
                <c:pt idx="3">
                  <c:v>0.62157194047722997</c:v>
                </c:pt>
                <c:pt idx="4">
                  <c:v>0.62157194047722997</c:v>
                </c:pt>
              </c:numCache>
            </c:numRef>
          </c:val>
          <c:smooth val="0"/>
          <c:extLst>
            <c:ext xmlns:c16="http://schemas.microsoft.com/office/drawing/2014/chart" uri="{C3380CC4-5D6E-409C-BE32-E72D297353CC}">
              <c16:uniqueId val="{00000001-6343-434A-9BA9-A4E1FC1D74DD}"/>
            </c:ext>
          </c:extLst>
        </c:ser>
        <c:dLbls>
          <c:showLegendKey val="0"/>
          <c:showVal val="0"/>
          <c:showCatName val="0"/>
          <c:showSerName val="0"/>
          <c:showPercent val="0"/>
          <c:showBubbleSize val="0"/>
        </c:dLbls>
        <c:marker val="1"/>
        <c:smooth val="0"/>
        <c:axId val="851695592"/>
        <c:axId val="851693624"/>
      </c:lineChart>
      <c:catAx>
        <c:axId val="851695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cap="all" baseline="0">
                    <a:solidFill>
                      <a:schemeClr val="tx1">
                        <a:lumMod val="65000"/>
                        <a:lumOff val="35000"/>
                      </a:schemeClr>
                    </a:solidFill>
                    <a:latin typeface="+mn-lt"/>
                    <a:ea typeface="+mn-ea"/>
                    <a:cs typeface="+mn-cs"/>
                  </a:defRPr>
                </a:pPr>
                <a:r>
                  <a:rPr lang="en-CA" sz="1050"/>
                  <a:t>Company</a:t>
                </a:r>
              </a:p>
            </c:rich>
          </c:tx>
          <c:overlay val="0"/>
          <c:spPr>
            <a:noFill/>
            <a:ln>
              <a:noFill/>
            </a:ln>
            <a:effectLst/>
          </c:spPr>
          <c:txPr>
            <a:bodyPr rot="0" spcFirstLastPara="1" vertOverflow="ellipsis" vert="horz" wrap="square" anchor="ctr" anchorCtr="1"/>
            <a:lstStyle/>
            <a:p>
              <a:pPr>
                <a:defRPr sz="105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cap="all" spc="120" normalizeH="0" baseline="0">
                <a:solidFill>
                  <a:schemeClr val="tx1">
                    <a:lumMod val="65000"/>
                    <a:lumOff val="35000"/>
                  </a:schemeClr>
                </a:solidFill>
                <a:latin typeface="+mn-lt"/>
                <a:ea typeface="+mn-ea"/>
                <a:cs typeface="+mn-cs"/>
              </a:defRPr>
            </a:pPr>
            <a:endParaRPr lang="en-US"/>
          </a:p>
        </c:txPr>
        <c:crossAx val="851693624"/>
        <c:crosses val="autoZero"/>
        <c:auto val="1"/>
        <c:lblAlgn val="ctr"/>
        <c:lblOffset val="100"/>
        <c:noMultiLvlLbl val="0"/>
      </c:catAx>
      <c:valAx>
        <c:axId val="851693624"/>
        <c:scaling>
          <c:orientation val="minMax"/>
        </c:scaling>
        <c:delete val="1"/>
        <c:axPos val="l"/>
        <c:title>
          <c:tx>
            <c:rich>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CA" sz="1000"/>
                  <a:t>DEbt-Equity</a:t>
                </a:r>
                <a:r>
                  <a:rPr lang="en-CA" sz="1000" baseline="0"/>
                  <a:t> = Total Liabilites/Total Share Holder equity</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crossAx val="851695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Debt</a:t>
            </a:r>
            <a:r>
              <a:rPr lang="en-CA" baseline="0"/>
              <a:t>- Assets</a:t>
            </a:r>
            <a:endParaRPr lang="en-CA"/>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'DS Tables'!$F$3</c:f>
              <c:strCache>
                <c:ptCount val="1"/>
                <c:pt idx="0">
                  <c:v>Debt-Assest</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5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'DS Tables'!$A$4:$A$32</c:f>
              <c:strCache>
                <c:ptCount val="5"/>
                <c:pt idx="0">
                  <c:v> Franco-Nevada Corp (XTSE:FNV) </c:v>
                </c:pt>
                <c:pt idx="1">
                  <c:v> Barrick Gold Corp (XTSE:ABX) </c:v>
                </c:pt>
                <c:pt idx="2">
                  <c:v> Newmont Corporation (XTSE:NGT) </c:v>
                </c:pt>
                <c:pt idx="3">
                  <c:v> Kirkland Lake Gold Ltd (XTSE:KL) </c:v>
                </c:pt>
                <c:pt idx="4">
                  <c:v> Agnico Eagle Mines Ltd (XTSE:AEM) </c:v>
                </c:pt>
              </c:strCache>
            </c:strRef>
          </c:cat>
          <c:val>
            <c:numRef>
              <c:f>'DS Tables'!$F$4:$F$32</c:f>
              <c:numCache>
                <c:formatCode>_(* #,##0.00_);_(* \(#,##0.00\);_(* "-"??_);_(@_)</c:formatCode>
                <c:ptCount val="5"/>
                <c:pt idx="0">
                  <c:v>4.1280060594584361E-2</c:v>
                </c:pt>
                <c:pt idx="1">
                  <c:v>0.51721030816363311</c:v>
                </c:pt>
                <c:pt idx="2">
                  <c:v>0.46415169860409267</c:v>
                </c:pt>
                <c:pt idx="3">
                  <c:v>0.28967943706020327</c:v>
                </c:pt>
                <c:pt idx="4">
                  <c:v>0.41843003412969282</c:v>
                </c:pt>
              </c:numCache>
            </c:numRef>
          </c:val>
          <c:extLst>
            <c:ext xmlns:c16="http://schemas.microsoft.com/office/drawing/2014/chart" uri="{C3380CC4-5D6E-409C-BE32-E72D297353CC}">
              <c16:uniqueId val="{00000000-F5BD-4715-AD71-17FE2EC7B0ED}"/>
            </c:ext>
          </c:extLst>
        </c:ser>
        <c:dLbls>
          <c:dLblPos val="outEnd"/>
          <c:showLegendKey val="0"/>
          <c:showVal val="1"/>
          <c:showCatName val="0"/>
          <c:showSerName val="0"/>
          <c:showPercent val="0"/>
          <c:showBubbleSize val="0"/>
        </c:dLbls>
        <c:gapWidth val="444"/>
        <c:axId val="851695592"/>
        <c:axId val="851693624"/>
      </c:barChart>
      <c:lineChart>
        <c:grouping val="standard"/>
        <c:varyColors val="0"/>
        <c:ser>
          <c:idx val="1"/>
          <c:order val="1"/>
          <c:tx>
            <c:strRef>
              <c:f>'DS Tables'!$J$3</c:f>
              <c:strCache>
                <c:ptCount val="1"/>
                <c:pt idx="0">
                  <c:v>Debit Asset Average</c:v>
                </c:pt>
              </c:strCache>
            </c:strRef>
          </c:tx>
          <c:spPr>
            <a:ln w="22225" cap="rnd">
              <a:solidFill>
                <a:schemeClr val="accent2"/>
              </a:solidFill>
              <a:round/>
            </a:ln>
            <a:effectLst/>
          </c:spPr>
          <c:marker>
            <c:symbol val="none"/>
          </c:marker>
          <c:val>
            <c:numRef>
              <c:f>'DS Tables'!$J$4:$J$32</c:f>
              <c:numCache>
                <c:formatCode>_(* #,##0.00_);_(* \(#,##0.00\);_(* "-"??_);_(@_)</c:formatCode>
                <c:ptCount val="5"/>
                <c:pt idx="0">
                  <c:v>0.3461503077104412</c:v>
                </c:pt>
                <c:pt idx="1">
                  <c:v>0.3461503077104412</c:v>
                </c:pt>
                <c:pt idx="2">
                  <c:v>0.3461503077104412</c:v>
                </c:pt>
                <c:pt idx="3">
                  <c:v>0.3461503077104412</c:v>
                </c:pt>
                <c:pt idx="4">
                  <c:v>0.3461503077104412</c:v>
                </c:pt>
              </c:numCache>
            </c:numRef>
          </c:val>
          <c:smooth val="0"/>
          <c:extLst>
            <c:ext xmlns:c16="http://schemas.microsoft.com/office/drawing/2014/chart" uri="{C3380CC4-5D6E-409C-BE32-E72D297353CC}">
              <c16:uniqueId val="{00000001-F5BD-4715-AD71-17FE2EC7B0ED}"/>
            </c:ext>
          </c:extLst>
        </c:ser>
        <c:dLbls>
          <c:showLegendKey val="0"/>
          <c:showVal val="0"/>
          <c:showCatName val="0"/>
          <c:showSerName val="0"/>
          <c:showPercent val="0"/>
          <c:showBubbleSize val="0"/>
        </c:dLbls>
        <c:marker val="1"/>
        <c:smooth val="0"/>
        <c:axId val="851695592"/>
        <c:axId val="851693624"/>
      </c:lineChart>
      <c:catAx>
        <c:axId val="851695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cap="all" baseline="0">
                    <a:solidFill>
                      <a:schemeClr val="tx1">
                        <a:lumMod val="65000"/>
                        <a:lumOff val="35000"/>
                      </a:schemeClr>
                    </a:solidFill>
                    <a:latin typeface="+mn-lt"/>
                    <a:ea typeface="+mn-ea"/>
                    <a:cs typeface="+mn-cs"/>
                  </a:defRPr>
                </a:pPr>
                <a:r>
                  <a:rPr lang="en-CA" sz="1050"/>
                  <a:t>Company</a:t>
                </a:r>
              </a:p>
            </c:rich>
          </c:tx>
          <c:overlay val="0"/>
          <c:spPr>
            <a:noFill/>
            <a:ln>
              <a:noFill/>
            </a:ln>
            <a:effectLst/>
          </c:spPr>
          <c:txPr>
            <a:bodyPr rot="0" spcFirstLastPara="1" vertOverflow="ellipsis" vert="horz" wrap="square" anchor="ctr" anchorCtr="1"/>
            <a:lstStyle/>
            <a:p>
              <a:pPr>
                <a:defRPr sz="105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cap="all" spc="120" normalizeH="0" baseline="0">
                <a:solidFill>
                  <a:schemeClr val="tx1">
                    <a:lumMod val="65000"/>
                    <a:lumOff val="35000"/>
                  </a:schemeClr>
                </a:solidFill>
                <a:latin typeface="+mn-lt"/>
                <a:ea typeface="+mn-ea"/>
                <a:cs typeface="+mn-cs"/>
              </a:defRPr>
            </a:pPr>
            <a:endParaRPr lang="en-US"/>
          </a:p>
        </c:txPr>
        <c:crossAx val="851693624"/>
        <c:crosses val="autoZero"/>
        <c:auto val="1"/>
        <c:lblAlgn val="ctr"/>
        <c:lblOffset val="100"/>
        <c:noMultiLvlLbl val="0"/>
      </c:catAx>
      <c:valAx>
        <c:axId val="851693624"/>
        <c:scaling>
          <c:orientation val="minMax"/>
        </c:scaling>
        <c:delete val="1"/>
        <c:axPos val="l"/>
        <c:title>
          <c:tx>
            <c:rich>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CA" sz="1000"/>
                  <a:t>DEbt-Assets</a:t>
                </a:r>
                <a:r>
                  <a:rPr lang="en-CA" sz="1000" baseline="0"/>
                  <a:t> = Total Liabilites/Total Assets</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crossAx val="851695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5155045730704276"/>
          <c:y val="7.9892312957960815E-2"/>
          <c:w val="0.59415056404857469"/>
          <c:h val="0.82446242130647118"/>
        </c:manualLayout>
      </c:layout>
      <c:barChart>
        <c:barDir val="bar"/>
        <c:grouping val="clustered"/>
        <c:varyColors val="0"/>
        <c:ser>
          <c:idx val="0"/>
          <c:order val="0"/>
          <c:tx>
            <c:strRef>
              <c:f>'DS Tables'!$C$35</c:f>
              <c:strCache>
                <c:ptCount val="1"/>
                <c:pt idx="0">
                  <c:v>2020E Guidance Revised </c:v>
                </c:pt>
              </c:strCache>
            </c:strRef>
          </c:tx>
          <c:spPr>
            <a:solidFill>
              <a:schemeClr val="accent1"/>
            </a:solidFill>
            <a:ln>
              <a:noFill/>
            </a:ln>
            <a:effectLst/>
          </c:spPr>
          <c:invertIfNegative val="0"/>
          <c:cat>
            <c:strRef>
              <c:f>'DS Tables'!$A$36:$A$64</c:f>
              <c:strCache>
                <c:ptCount val="29"/>
                <c:pt idx="0">
                  <c:v>Newmont Corporation (XTSE:NGT)</c:v>
                </c:pt>
                <c:pt idx="1">
                  <c:v>Kirkland Lake Gold Ltd (XTSE:KL)</c:v>
                </c:pt>
                <c:pt idx="2">
                  <c:v>Agnico Eagle Mines Ltd (XTSE:AEM)</c:v>
                </c:pt>
                <c:pt idx="3">
                  <c:v>Barrick Gold Corp (XTSE:ABX)</c:v>
                </c:pt>
                <c:pt idx="4">
                  <c:v>Franco-Nevada Corp (XTSE:FNV)</c:v>
                </c:pt>
                <c:pt idx="5">
                  <c:v>Centerra Gold Inc (XTSE:CG)</c:v>
                </c:pt>
                <c:pt idx="6">
                  <c:v>AngloGold Ashanti Ltd (XNYS:AU)</c:v>
                </c:pt>
                <c:pt idx="7">
                  <c:v>Kinross Gold Corp (XTSE:K)</c:v>
                </c:pt>
                <c:pt idx="8">
                  <c:v>B2Gold Corp (XTSE:BTO)</c:v>
                </c:pt>
                <c:pt idx="9">
                  <c:v>Yamana Gold Inc (XTSE:YRI)</c:v>
                </c:pt>
                <c:pt idx="10">
                  <c:v>Pretium Resources Inc (XTSE:PVG)</c:v>
                </c:pt>
                <c:pt idx="11">
                  <c:v>Alamos Gold Inc (XNYS:AGI)</c:v>
                </c:pt>
                <c:pt idx="12">
                  <c:v>Centamin PLC (XTSE:CEE)</c:v>
                </c:pt>
                <c:pt idx="13">
                  <c:v>Eldorado Gold Corp (XTSE:ELD)</c:v>
                </c:pt>
                <c:pt idx="14">
                  <c:v>Iamgold Corp (XTSE:IMG)</c:v>
                </c:pt>
                <c:pt idx="15">
                  <c:v>Lundin Gold Inc (XTSE:LUG)</c:v>
                </c:pt>
                <c:pt idx="16">
                  <c:v>SSR Mining Inc (XTSE:SSRM)</c:v>
                </c:pt>
                <c:pt idx="17">
                  <c:v>Semafo Inc (XTSE:SMF)</c:v>
                </c:pt>
                <c:pt idx="18">
                  <c:v>Torex Gold Resources Inc (XTSE:TXG)</c:v>
                </c:pt>
                <c:pt idx="19">
                  <c:v>Dundee Precious Metals Inc (XTSE:DPM)</c:v>
                </c:pt>
                <c:pt idx="20">
                  <c:v>Equinox Gold Corp (XTSE:EQX)</c:v>
                </c:pt>
                <c:pt idx="21">
                  <c:v>Harte Gold Corp (XTSE:HRT)</c:v>
                </c:pt>
                <c:pt idx="22">
                  <c:v>K92 Mining Inc (XTSX:KNT)</c:v>
                </c:pt>
                <c:pt idx="23">
                  <c:v>McEwen Mining Inc (XTSE:MUX)</c:v>
                </c:pt>
                <c:pt idx="24">
                  <c:v>New Gold Inc (XTSE:NGD)</c:v>
                </c:pt>
                <c:pt idx="25">
                  <c:v>Teranga Gold Corp (XTSE:TGZ)</c:v>
                </c:pt>
                <c:pt idx="26">
                  <c:v>TMAC Resources Inc (XTSE:TMR)</c:v>
                </c:pt>
                <c:pt idx="27">
                  <c:v>Victoria Gold Corp (XTSE:VGCX)</c:v>
                </c:pt>
                <c:pt idx="28">
                  <c:v>Wesdome Gold Mines Ltd (XTSE:WDO)</c:v>
                </c:pt>
              </c:strCache>
            </c:strRef>
          </c:cat>
          <c:val>
            <c:numRef>
              <c:f>'DS Tables'!$C$36:$C$64</c:f>
              <c:numCache>
                <c:formatCode>_-* #,##0_-;\-* #,##0_-;_-* "-"??_-;_-@_-</c:formatCode>
                <c:ptCount val="29"/>
                <c:pt idx="0">
                  <c:v>6400000</c:v>
                </c:pt>
                <c:pt idx="1">
                  <c:v>1505000</c:v>
                </c:pt>
                <c:pt idx="2">
                  <c:v>2000000</c:v>
                </c:pt>
                <c:pt idx="3">
                  <c:v>5000000</c:v>
                </c:pt>
                <c:pt idx="4">
                  <c:v>565000</c:v>
                </c:pt>
                <c:pt idx="5">
                  <c:v>805000</c:v>
                </c:pt>
                <c:pt idx="6">
                  <c:v>3175000</c:v>
                </c:pt>
                <c:pt idx="7">
                  <c:v>2400000</c:v>
                </c:pt>
                <c:pt idx="8">
                  <c:v>1027500</c:v>
                </c:pt>
                <c:pt idx="9">
                  <c:v>990000</c:v>
                </c:pt>
                <c:pt idx="10">
                  <c:v>345000</c:v>
                </c:pt>
                <c:pt idx="11">
                  <c:v>445000</c:v>
                </c:pt>
                <c:pt idx="12">
                  <c:v>525000</c:v>
                </c:pt>
                <c:pt idx="13">
                  <c:v>535000</c:v>
                </c:pt>
                <c:pt idx="14">
                  <c:v>730000</c:v>
                </c:pt>
                <c:pt idx="15">
                  <c:v>280000</c:v>
                </c:pt>
                <c:pt idx="16">
                  <c:v>425000</c:v>
                </c:pt>
                <c:pt idx="17">
                  <c:v>335000</c:v>
                </c:pt>
                <c:pt idx="18">
                  <c:v>450000</c:v>
                </c:pt>
                <c:pt idx="19">
                  <c:v>274000</c:v>
                </c:pt>
                <c:pt idx="20">
                  <c:v>700000</c:v>
                </c:pt>
                <c:pt idx="21">
                  <c:v>45000</c:v>
                </c:pt>
                <c:pt idx="22">
                  <c:v>115000</c:v>
                </c:pt>
                <c:pt idx="23">
                  <c:v>172500</c:v>
                </c:pt>
                <c:pt idx="24">
                  <c:v>326500</c:v>
                </c:pt>
                <c:pt idx="25">
                  <c:v>350000</c:v>
                </c:pt>
                <c:pt idx="26">
                  <c:v>113700</c:v>
                </c:pt>
                <c:pt idx="27">
                  <c:v>210000</c:v>
                </c:pt>
                <c:pt idx="28">
                  <c:v>95000</c:v>
                </c:pt>
              </c:numCache>
            </c:numRef>
          </c:val>
          <c:extLst>
            <c:ext xmlns:c16="http://schemas.microsoft.com/office/drawing/2014/chart" uri="{C3380CC4-5D6E-409C-BE32-E72D297353CC}">
              <c16:uniqueId val="{00000000-4C4D-4594-8F9A-10C446614518}"/>
            </c:ext>
          </c:extLst>
        </c:ser>
        <c:dLbls>
          <c:showLegendKey val="0"/>
          <c:showVal val="0"/>
          <c:showCatName val="0"/>
          <c:showSerName val="0"/>
          <c:showPercent val="0"/>
          <c:showBubbleSize val="0"/>
        </c:dLbls>
        <c:gapWidth val="25"/>
        <c:axId val="842622280"/>
        <c:axId val="842622936"/>
      </c:barChart>
      <c:catAx>
        <c:axId val="84262228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Company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42622936"/>
        <c:crosses val="autoZero"/>
        <c:auto val="1"/>
        <c:lblAlgn val="l"/>
        <c:lblOffset val="100"/>
        <c:noMultiLvlLbl val="0"/>
      </c:catAx>
      <c:valAx>
        <c:axId val="842622936"/>
        <c:scaling>
          <c:orientation val="minMax"/>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GEO (Moz)</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622280"/>
        <c:crosses val="autoZero"/>
        <c:crossBetween val="between"/>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'DS Tables'!$L$35</c:f>
              <c:strCache>
                <c:ptCount val="1"/>
                <c:pt idx="0">
                  <c:v>Estimated 2020 OPSCF</c:v>
                </c:pt>
              </c:strCache>
            </c:strRef>
          </c:tx>
          <c:spPr>
            <a:solidFill>
              <a:schemeClr val="accent1"/>
            </a:solidFill>
            <a:ln>
              <a:noFill/>
            </a:ln>
            <a:effectLst/>
          </c:spPr>
          <c:invertIfNegative val="0"/>
          <c:cat>
            <c:strRef>
              <c:f>'DS Tables'!$J$36:$J$64</c:f>
              <c:strCache>
                <c:ptCount val="29"/>
                <c:pt idx="0">
                  <c:v>Newmont Corporation (XTSE:NGT)</c:v>
                </c:pt>
                <c:pt idx="1">
                  <c:v>Kirkland Lake Gold Ltd (XTSE:KL)</c:v>
                </c:pt>
                <c:pt idx="2">
                  <c:v>Agnico Eagle Mines Ltd (XTSE:AEM)</c:v>
                </c:pt>
                <c:pt idx="3">
                  <c:v>Barrick Gold Corp (XTSE:ABX)</c:v>
                </c:pt>
                <c:pt idx="4">
                  <c:v>Franco-Nevada Corp (XTSE:FNV)</c:v>
                </c:pt>
                <c:pt idx="5">
                  <c:v>Centerra Gold Inc (XTSE:CG)</c:v>
                </c:pt>
                <c:pt idx="6">
                  <c:v>AngloGold Ashanti Ltd (XNYS:AU)</c:v>
                </c:pt>
                <c:pt idx="7">
                  <c:v>Kinross Gold Corp (XTSE:K)</c:v>
                </c:pt>
                <c:pt idx="8">
                  <c:v>B2Gold Corp (XTSE:BTO)</c:v>
                </c:pt>
                <c:pt idx="9">
                  <c:v>Yamana Gold Inc (XTSE:YRI)</c:v>
                </c:pt>
                <c:pt idx="10">
                  <c:v>Pretium Resources Inc (XTSE:PVG)</c:v>
                </c:pt>
                <c:pt idx="11">
                  <c:v>Alamos Gold Inc (XNYS:AGI)</c:v>
                </c:pt>
                <c:pt idx="12">
                  <c:v>Centamin PLC (XTSE:CEE)</c:v>
                </c:pt>
                <c:pt idx="13">
                  <c:v>Eldorado Gold Corp (XTSE:ELD)</c:v>
                </c:pt>
                <c:pt idx="14">
                  <c:v>Iamgold Corp (XTSE:IMG)</c:v>
                </c:pt>
                <c:pt idx="15">
                  <c:v>Lundin Gold Inc (XTSE:LUG)</c:v>
                </c:pt>
                <c:pt idx="16">
                  <c:v>SSR Mining Inc (XTSE:SSRM)</c:v>
                </c:pt>
                <c:pt idx="17">
                  <c:v>Semafo Inc (XTSE:SMF)</c:v>
                </c:pt>
                <c:pt idx="18">
                  <c:v>Torex Gold Resources Inc (XTSE:TXG)</c:v>
                </c:pt>
                <c:pt idx="19">
                  <c:v>Dundee Precious Metals Inc (XTSE:DPM)</c:v>
                </c:pt>
                <c:pt idx="20">
                  <c:v>Equinox Gold Corp (XTSE:EQX)</c:v>
                </c:pt>
                <c:pt idx="21">
                  <c:v>Harte Gold Corp (XTSE:HRT)</c:v>
                </c:pt>
                <c:pt idx="22">
                  <c:v>K92 Mining Inc (XTSX:KNT)</c:v>
                </c:pt>
                <c:pt idx="23">
                  <c:v>McEwen Mining Inc (XTSE:MUX)</c:v>
                </c:pt>
                <c:pt idx="24">
                  <c:v>New Gold Inc (XTSE:NGD)</c:v>
                </c:pt>
                <c:pt idx="25">
                  <c:v>Teranga Gold Corp (XTSE:TGZ)</c:v>
                </c:pt>
                <c:pt idx="26">
                  <c:v>TMAC Resources Inc (XTSE:TMR)</c:v>
                </c:pt>
                <c:pt idx="27">
                  <c:v>Victoria Gold Corp (XTSE:VGCX)</c:v>
                </c:pt>
                <c:pt idx="28">
                  <c:v>Wesdome Gold Mines Ltd (XTSE:WDO)</c:v>
                </c:pt>
              </c:strCache>
            </c:strRef>
          </c:cat>
          <c:val>
            <c:numRef>
              <c:f>'DS Tables'!$L$36:$L$64</c:f>
              <c:numCache>
                <c:formatCode>_-* #,##0_-;\-* #,##0_-;_-* "-"??_-;_-@_-</c:formatCode>
                <c:ptCount val="29"/>
                <c:pt idx="0">
                  <c:v>4609098000.000001</c:v>
                </c:pt>
                <c:pt idx="1">
                  <c:v>1081787700.0000002</c:v>
                </c:pt>
                <c:pt idx="2">
                  <c:v>1061081250.0000001</c:v>
                </c:pt>
                <c:pt idx="3">
                  <c:v>3025883750.0000005</c:v>
                </c:pt>
                <c:pt idx="4">
                  <c:v>690017455.43933058</c:v>
                </c:pt>
                <c:pt idx="5">
                  <c:v>590309425.00000012</c:v>
                </c:pt>
                <c:pt idx="6">
                  <c:v>1574514250.0000002</c:v>
                </c:pt>
                <c:pt idx="7">
                  <c:v>1430184000.0000002</c:v>
                </c:pt>
                <c:pt idx="8">
                  <c:v>786972525.00000012</c:v>
                </c:pt>
                <c:pt idx="9">
                  <c:v>561240900.00000012</c:v>
                </c:pt>
                <c:pt idx="10">
                  <c:v>200413950.00000003</c:v>
                </c:pt>
                <c:pt idx="11">
                  <c:v>234029950.00000003</c:v>
                </c:pt>
                <c:pt idx="12">
                  <c:v>352227750.00000006</c:v>
                </c:pt>
                <c:pt idx="13">
                  <c:v>356261850.00000006</c:v>
                </c:pt>
                <c:pt idx="14">
                  <c:v>321864300.00000006</c:v>
                </c:pt>
                <c:pt idx="15">
                  <c:v>264574800.00000003</c:v>
                </c:pt>
                <c:pt idx="16">
                  <c:v>203536750.00000003</c:v>
                </c:pt>
                <c:pt idx="17">
                  <c:v>213867350.00000003</c:v>
                </c:pt>
                <c:pt idx="18">
                  <c:v>286159500.00000006</c:v>
                </c:pt>
                <c:pt idx="19">
                  <c:v>231779340.00000003</c:v>
                </c:pt>
                <c:pt idx="20">
                  <c:v>396137000.00000006</c:v>
                </c:pt>
                <c:pt idx="21">
                  <c:v>153450.0000000037</c:v>
                </c:pt>
                <c:pt idx="22">
                  <c:v>93829650.000000015</c:v>
                </c:pt>
                <c:pt idx="23">
                  <c:v>80369475.000000015</c:v>
                </c:pt>
                <c:pt idx="24">
                  <c:v>86819615.00000003</c:v>
                </c:pt>
                <c:pt idx="25">
                  <c:v>184943500.00000003</c:v>
                </c:pt>
                <c:pt idx="26">
                  <c:v>52973967.000000007</c:v>
                </c:pt>
                <c:pt idx="27">
                  <c:v>160841100.00000003</c:v>
                </c:pt>
                <c:pt idx="28">
                  <c:v>23836450.000000007</c:v>
                </c:pt>
              </c:numCache>
            </c:numRef>
          </c:val>
          <c:extLst>
            <c:ext xmlns:c16="http://schemas.microsoft.com/office/drawing/2014/chart" uri="{C3380CC4-5D6E-409C-BE32-E72D297353CC}">
              <c16:uniqueId val="{00000000-D4C4-40C5-8F7B-5D3F2FFA0FC5}"/>
            </c:ext>
          </c:extLst>
        </c:ser>
        <c:dLbls>
          <c:showLegendKey val="0"/>
          <c:showVal val="0"/>
          <c:showCatName val="0"/>
          <c:showSerName val="0"/>
          <c:showPercent val="0"/>
          <c:showBubbleSize val="0"/>
        </c:dLbls>
        <c:gapWidth val="25"/>
        <c:axId val="852460920"/>
        <c:axId val="852459608"/>
      </c:barChart>
      <c:catAx>
        <c:axId val="8524609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Company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52459608"/>
        <c:crosses val="autoZero"/>
        <c:auto val="1"/>
        <c:lblAlgn val="ctr"/>
        <c:lblOffset val="100"/>
        <c:noMultiLvlLbl val="0"/>
      </c:catAx>
      <c:valAx>
        <c:axId val="852459608"/>
        <c:scaling>
          <c:orientation val="minMax"/>
          <c:min val="0"/>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Cash Flow</a:t>
                </a:r>
                <a:r>
                  <a:rPr lang="en-CA" baseline="0"/>
                  <a:t> ($USD 000's)</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460920"/>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2020</a:t>
            </a:r>
            <a:r>
              <a:rPr lang="en-CA" baseline="0"/>
              <a:t> AISC Gudiance</a:t>
            </a:r>
            <a:endParaRPr lang="en-CA"/>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'DS Tables'!$G$35</c:f>
              <c:strCache>
                <c:ptCount val="1"/>
                <c:pt idx="0">
                  <c:v>AISC 2020E Guidance</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5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'DS Tables'!$E$36:$E$64</c:f>
              <c:strCache>
                <c:ptCount val="29"/>
                <c:pt idx="0">
                  <c:v>Franco-Nevada Corp (XTSE:FNV)</c:v>
                </c:pt>
                <c:pt idx="1">
                  <c:v>Lundin Gold Inc (XTSE:LUG)</c:v>
                </c:pt>
                <c:pt idx="2">
                  <c:v>Dundee Precious Metals Inc (XTSE:DPM)</c:v>
                </c:pt>
                <c:pt idx="3">
                  <c:v>K92 Mining Inc (XTSX:KNT)</c:v>
                </c:pt>
                <c:pt idx="4">
                  <c:v>B2Gold Corp (XTSE:BTO)</c:v>
                </c:pt>
                <c:pt idx="5">
                  <c:v>Victoria Gold Corp (XTSE:VGCX)</c:v>
                </c:pt>
                <c:pt idx="6">
                  <c:v>Kirkland Lake Gold Ltd (XTSE:KL)</c:v>
                </c:pt>
                <c:pt idx="7">
                  <c:v>Centerra Gold Inc (XTSE:CG)</c:v>
                </c:pt>
                <c:pt idx="8">
                  <c:v>Centamin PLC (XTSE:CEE)</c:v>
                </c:pt>
                <c:pt idx="9">
                  <c:v>Eldorado Gold Corp (XTSE:ELD)</c:v>
                </c:pt>
                <c:pt idx="10">
                  <c:v>Semafo Inc (XTSE:SMF)</c:v>
                </c:pt>
                <c:pt idx="11">
                  <c:v>Torex Gold Resources Inc (XTSE:TXG)</c:v>
                </c:pt>
                <c:pt idx="12">
                  <c:v>Barrick Gold Corp (XTSE:ABX)</c:v>
                </c:pt>
                <c:pt idx="13">
                  <c:v>Kinross Gold Corp (XTSE:K)</c:v>
                </c:pt>
                <c:pt idx="14">
                  <c:v>Newmont Corporation (XTSE:NGT)</c:v>
                </c:pt>
                <c:pt idx="15">
                  <c:v>Pretium Resources Inc (XTSE:PVG)</c:v>
                </c:pt>
                <c:pt idx="16">
                  <c:v>Yamana Gold Inc (XTSE:YRI)</c:v>
                </c:pt>
                <c:pt idx="17">
                  <c:v>Agnico Eagle Mines Ltd (XTSE:AEM)</c:v>
                </c:pt>
                <c:pt idx="18">
                  <c:v>Equinox Gold Corp (XTSE:EQX)</c:v>
                </c:pt>
                <c:pt idx="19">
                  <c:v>Teranga Gold Corp (XTSE:TGZ)</c:v>
                </c:pt>
                <c:pt idx="20">
                  <c:v>Alamos Gold Inc (XNYS:AGI)</c:v>
                </c:pt>
                <c:pt idx="21">
                  <c:v>AngloGold Ashanti Ltd (XNYS:AU)</c:v>
                </c:pt>
                <c:pt idx="22">
                  <c:v>SSR Mining Inc (XTSE:SSRM)</c:v>
                </c:pt>
                <c:pt idx="23">
                  <c:v>McEwen Mining Inc (XTSE:MUX)</c:v>
                </c:pt>
                <c:pt idx="24">
                  <c:v>TMAC Resources Inc (XTSE:TMR)</c:v>
                </c:pt>
                <c:pt idx="25">
                  <c:v>Iamgold Corp (XTSE:IMG)</c:v>
                </c:pt>
                <c:pt idx="26">
                  <c:v>New Gold Inc (XTSE:NGD)</c:v>
                </c:pt>
                <c:pt idx="27">
                  <c:v>Wesdome Gold Mines Ltd (XTSE:WDO)</c:v>
                </c:pt>
                <c:pt idx="28">
                  <c:v>Harte Gold Corp (XTSE:HRT)</c:v>
                </c:pt>
              </c:strCache>
            </c:strRef>
          </c:cat>
          <c:val>
            <c:numRef>
              <c:f>'DS Tables'!$G$36:$G$64</c:f>
              <c:numCache>
                <c:formatCode>_-* #,##0_-;\-* #,##0_-;_-* "-"??_-;_-@_-</c:formatCode>
                <c:ptCount val="29"/>
                <c:pt idx="0">
                  <c:v>344.64016736401675</c:v>
                </c:pt>
                <c:pt idx="1">
                  <c:v>621</c:v>
                </c:pt>
                <c:pt idx="2">
                  <c:v>720</c:v>
                </c:pt>
                <c:pt idx="3">
                  <c:v>750</c:v>
                </c:pt>
                <c:pt idx="4">
                  <c:v>800</c:v>
                </c:pt>
                <c:pt idx="5">
                  <c:v>800</c:v>
                </c:pt>
                <c:pt idx="6">
                  <c:v>830</c:v>
                </c:pt>
                <c:pt idx="7">
                  <c:v>845</c:v>
                </c:pt>
                <c:pt idx="8">
                  <c:v>895</c:v>
                </c:pt>
                <c:pt idx="9">
                  <c:v>900</c:v>
                </c:pt>
                <c:pt idx="10">
                  <c:v>927.5</c:v>
                </c:pt>
                <c:pt idx="11">
                  <c:v>930</c:v>
                </c:pt>
                <c:pt idx="12">
                  <c:v>945</c:v>
                </c:pt>
                <c:pt idx="13">
                  <c:v>970</c:v>
                </c:pt>
                <c:pt idx="14">
                  <c:v>975</c:v>
                </c:pt>
                <c:pt idx="15">
                  <c:v>985</c:v>
                </c:pt>
                <c:pt idx="16">
                  <c:v>999</c:v>
                </c:pt>
                <c:pt idx="17">
                  <c:v>1000</c:v>
                </c:pt>
                <c:pt idx="18">
                  <c:v>1000</c:v>
                </c:pt>
                <c:pt idx="19">
                  <c:v>1037.5</c:v>
                </c:pt>
                <c:pt idx="20">
                  <c:v>1040</c:v>
                </c:pt>
                <c:pt idx="21">
                  <c:v>1070</c:v>
                </c:pt>
                <c:pt idx="22">
                  <c:v>1087</c:v>
                </c:pt>
                <c:pt idx="23">
                  <c:v>1100</c:v>
                </c:pt>
                <c:pt idx="24">
                  <c:v>1100</c:v>
                </c:pt>
                <c:pt idx="25">
                  <c:v>1125</c:v>
                </c:pt>
                <c:pt idx="26">
                  <c:v>1300</c:v>
                </c:pt>
                <c:pt idx="27">
                  <c:v>1315</c:v>
                </c:pt>
                <c:pt idx="28">
                  <c:v>1562.5</c:v>
                </c:pt>
              </c:numCache>
            </c:numRef>
          </c:val>
          <c:extLst>
            <c:ext xmlns:c16="http://schemas.microsoft.com/office/drawing/2014/chart" uri="{C3380CC4-5D6E-409C-BE32-E72D297353CC}">
              <c16:uniqueId val="{00000000-31F6-4407-8403-A7D8715B3E59}"/>
            </c:ext>
          </c:extLst>
        </c:ser>
        <c:dLbls>
          <c:dLblPos val="outEnd"/>
          <c:showLegendKey val="0"/>
          <c:showVal val="1"/>
          <c:showCatName val="0"/>
          <c:showSerName val="0"/>
          <c:showPercent val="0"/>
          <c:showBubbleSize val="0"/>
        </c:dLbls>
        <c:gapWidth val="444"/>
        <c:axId val="851695592"/>
        <c:axId val="851693624"/>
      </c:barChart>
      <c:lineChart>
        <c:grouping val="standard"/>
        <c:varyColors val="0"/>
        <c:ser>
          <c:idx val="1"/>
          <c:order val="1"/>
          <c:tx>
            <c:strRef>
              <c:f>'DS Tables'!$H$35</c:f>
              <c:strCache>
                <c:ptCount val="1"/>
                <c:pt idx="0">
                  <c:v>AISC Average</c:v>
                </c:pt>
              </c:strCache>
            </c:strRef>
          </c:tx>
          <c:spPr>
            <a:ln w="22225" cap="rnd">
              <a:solidFill>
                <a:schemeClr val="accent2"/>
              </a:solidFill>
              <a:round/>
            </a:ln>
            <a:effectLst/>
          </c:spPr>
          <c:marker>
            <c:symbol val="none"/>
          </c:marker>
          <c:val>
            <c:numRef>
              <c:f>'DS Tables'!$H$36:$H$64</c:f>
              <c:numCache>
                <c:formatCode>_-* #,##0_-;\-* #,##0_-;_-* "-"??_-;_-@_-</c:formatCode>
                <c:ptCount val="29"/>
                <c:pt idx="0">
                  <c:v>964.62552301255232</c:v>
                </c:pt>
                <c:pt idx="1">
                  <c:v>964.62552301255232</c:v>
                </c:pt>
                <c:pt idx="2">
                  <c:v>964.62552301255232</c:v>
                </c:pt>
                <c:pt idx="3">
                  <c:v>964.62552301255232</c:v>
                </c:pt>
                <c:pt idx="4">
                  <c:v>964.62552301255232</c:v>
                </c:pt>
                <c:pt idx="5">
                  <c:v>964.62552301255232</c:v>
                </c:pt>
                <c:pt idx="6">
                  <c:v>964.62552301255232</c:v>
                </c:pt>
                <c:pt idx="7">
                  <c:v>964.62552301255232</c:v>
                </c:pt>
                <c:pt idx="8">
                  <c:v>964.62552301255232</c:v>
                </c:pt>
                <c:pt idx="9">
                  <c:v>964.62552301255232</c:v>
                </c:pt>
                <c:pt idx="10">
                  <c:v>964.62552301255232</c:v>
                </c:pt>
                <c:pt idx="11">
                  <c:v>964.62552301255232</c:v>
                </c:pt>
                <c:pt idx="12">
                  <c:v>964.62552301255232</c:v>
                </c:pt>
                <c:pt idx="13">
                  <c:v>964.62552301255232</c:v>
                </c:pt>
                <c:pt idx="14">
                  <c:v>964.62552301255232</c:v>
                </c:pt>
                <c:pt idx="15">
                  <c:v>964.62552301255232</c:v>
                </c:pt>
                <c:pt idx="16">
                  <c:v>964.62552301255232</c:v>
                </c:pt>
                <c:pt idx="17">
                  <c:v>964.62552301255232</c:v>
                </c:pt>
                <c:pt idx="18">
                  <c:v>964.62552301255232</c:v>
                </c:pt>
                <c:pt idx="19">
                  <c:v>964.62552301255232</c:v>
                </c:pt>
                <c:pt idx="20">
                  <c:v>964.62552301255232</c:v>
                </c:pt>
                <c:pt idx="21">
                  <c:v>964.62552301255232</c:v>
                </c:pt>
                <c:pt idx="22">
                  <c:v>964.62552301255232</c:v>
                </c:pt>
                <c:pt idx="23">
                  <c:v>964.62552301255232</c:v>
                </c:pt>
                <c:pt idx="24">
                  <c:v>964.62552301255232</c:v>
                </c:pt>
                <c:pt idx="25">
                  <c:v>964.62552301255232</c:v>
                </c:pt>
                <c:pt idx="26">
                  <c:v>964.62552301255232</c:v>
                </c:pt>
                <c:pt idx="27">
                  <c:v>964.62552301255232</c:v>
                </c:pt>
                <c:pt idx="28">
                  <c:v>964.62552301255232</c:v>
                </c:pt>
              </c:numCache>
            </c:numRef>
          </c:val>
          <c:smooth val="0"/>
          <c:extLst>
            <c:ext xmlns:c16="http://schemas.microsoft.com/office/drawing/2014/chart" uri="{C3380CC4-5D6E-409C-BE32-E72D297353CC}">
              <c16:uniqueId val="{00000001-31F6-4407-8403-A7D8715B3E59}"/>
            </c:ext>
          </c:extLst>
        </c:ser>
        <c:dLbls>
          <c:showLegendKey val="0"/>
          <c:showVal val="0"/>
          <c:showCatName val="0"/>
          <c:showSerName val="0"/>
          <c:showPercent val="0"/>
          <c:showBubbleSize val="0"/>
        </c:dLbls>
        <c:marker val="1"/>
        <c:smooth val="0"/>
        <c:axId val="851695592"/>
        <c:axId val="851693624"/>
      </c:lineChart>
      <c:catAx>
        <c:axId val="851695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cap="all" baseline="0">
                    <a:solidFill>
                      <a:schemeClr val="tx1">
                        <a:lumMod val="65000"/>
                        <a:lumOff val="35000"/>
                      </a:schemeClr>
                    </a:solidFill>
                    <a:latin typeface="+mn-lt"/>
                    <a:ea typeface="+mn-ea"/>
                    <a:cs typeface="+mn-cs"/>
                  </a:defRPr>
                </a:pPr>
                <a:r>
                  <a:rPr lang="en-CA" sz="1050" b="1"/>
                  <a:t>Company</a:t>
                </a:r>
              </a:p>
            </c:rich>
          </c:tx>
          <c:overlay val="0"/>
          <c:spPr>
            <a:noFill/>
            <a:ln>
              <a:noFill/>
            </a:ln>
            <a:effectLst/>
          </c:spPr>
          <c:txPr>
            <a:bodyPr rot="0" spcFirstLastPara="1" vertOverflow="ellipsis" vert="horz" wrap="square" anchor="ctr" anchorCtr="1"/>
            <a:lstStyle/>
            <a:p>
              <a:pPr>
                <a:defRPr sz="1050" b="1"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cap="all" spc="120" normalizeH="0" baseline="0">
                <a:solidFill>
                  <a:schemeClr val="tx1">
                    <a:lumMod val="65000"/>
                    <a:lumOff val="35000"/>
                  </a:schemeClr>
                </a:solidFill>
                <a:latin typeface="+mn-lt"/>
                <a:ea typeface="+mn-ea"/>
                <a:cs typeface="+mn-cs"/>
              </a:defRPr>
            </a:pPr>
            <a:endParaRPr lang="en-US"/>
          </a:p>
        </c:txPr>
        <c:crossAx val="851693624"/>
        <c:crosses val="autoZero"/>
        <c:auto val="1"/>
        <c:lblAlgn val="ctr"/>
        <c:lblOffset val="100"/>
        <c:noMultiLvlLbl val="0"/>
      </c:catAx>
      <c:valAx>
        <c:axId val="851693624"/>
        <c:scaling>
          <c:orientation val="minMax"/>
        </c:scaling>
        <c:delete val="1"/>
        <c:axPos val="l"/>
        <c:title>
          <c:tx>
            <c:rich>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CA" sz="1000"/>
                  <a:t>All IN Sustaining Cost</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crossAx val="851695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Market Cap vs P/CFPS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tx>
            <c:strRef>
              <c:f>'DS Tables'!$C$160</c:f>
              <c:strCache>
                <c:ptCount val="1"/>
                <c:pt idx="0">
                  <c:v>Market Cap</c:v>
                </c:pt>
              </c:strCache>
            </c:strRef>
          </c:tx>
          <c:spPr>
            <a:solidFill>
              <a:schemeClr val="accent1">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'DS Tables'!$A$161:$A$189</c:f>
              <c:strCache>
                <c:ptCount val="29"/>
                <c:pt idx="0">
                  <c:v>Newmont Corporation (XTSE:NGT)</c:v>
                </c:pt>
                <c:pt idx="1">
                  <c:v>Kirkland Lake Gold Ltd (XTSE:KL)</c:v>
                </c:pt>
                <c:pt idx="2">
                  <c:v>Agnico Eagle Mines Ltd (XTSE:AEM)</c:v>
                </c:pt>
                <c:pt idx="3">
                  <c:v>Barrick Gold Corp (XTSE:ABX)</c:v>
                </c:pt>
                <c:pt idx="4">
                  <c:v>Franco-Nevada Corp (XTSE:FNV)</c:v>
                </c:pt>
                <c:pt idx="5">
                  <c:v>Centerra Gold Inc (XTSE:CG)</c:v>
                </c:pt>
                <c:pt idx="6">
                  <c:v>AngloGold Ashanti Ltd (XNYS:AU)</c:v>
                </c:pt>
                <c:pt idx="7">
                  <c:v>Kinross Gold Corp (XTSE:K)</c:v>
                </c:pt>
                <c:pt idx="8">
                  <c:v>B2Gold Corp (XTSE:BTO)</c:v>
                </c:pt>
                <c:pt idx="9">
                  <c:v>Yamana Gold Inc (XTSE:YRI)</c:v>
                </c:pt>
                <c:pt idx="10">
                  <c:v>Pretium Resources Inc (XTSE:PVG)</c:v>
                </c:pt>
                <c:pt idx="11">
                  <c:v>Alamos Gold Inc (XNYS:AGI)</c:v>
                </c:pt>
                <c:pt idx="12">
                  <c:v>Centamin PLC (XTSE:CEE)</c:v>
                </c:pt>
                <c:pt idx="13">
                  <c:v>Eldorado Gold Corp (XTSE:ELD)</c:v>
                </c:pt>
                <c:pt idx="14">
                  <c:v>Iamgold Corp (XTSE:IMG)</c:v>
                </c:pt>
                <c:pt idx="15">
                  <c:v>Lundin Gold Inc (XTSE:LUG)</c:v>
                </c:pt>
                <c:pt idx="16">
                  <c:v>SSR Mining Inc (XTSE:SSRM)</c:v>
                </c:pt>
                <c:pt idx="17">
                  <c:v>Semafo Inc (XTSE:SMF)</c:v>
                </c:pt>
                <c:pt idx="18">
                  <c:v>Torex Gold Resources Inc (XTSE:TXG)</c:v>
                </c:pt>
                <c:pt idx="19">
                  <c:v>Dundee Precious Metals Inc (XTSE:DPM)</c:v>
                </c:pt>
                <c:pt idx="20">
                  <c:v>Equinox Gold Corp (XTSE:EQX)</c:v>
                </c:pt>
                <c:pt idx="21">
                  <c:v>Harte Gold Corp (XTSE:HRT)</c:v>
                </c:pt>
                <c:pt idx="22">
                  <c:v>K92 Mining Inc (XTSX:KNT)</c:v>
                </c:pt>
                <c:pt idx="23">
                  <c:v>McEwen Mining Inc (XTSE:MUX)</c:v>
                </c:pt>
                <c:pt idx="24">
                  <c:v>New Gold Inc (XTSE:NGD)</c:v>
                </c:pt>
                <c:pt idx="25">
                  <c:v>Teranga Gold Corp (XTSE:TGZ)</c:v>
                </c:pt>
                <c:pt idx="26">
                  <c:v>TMAC Resources Inc (XTSE:TMR)</c:v>
                </c:pt>
                <c:pt idx="27">
                  <c:v>Victoria Gold Corp (XTSE:VGCX)</c:v>
                </c:pt>
                <c:pt idx="28">
                  <c:v>Wesdome Gold Mines Ltd (XTSE:WDO)</c:v>
                </c:pt>
              </c:strCache>
            </c:strRef>
          </c:xVal>
          <c:yVal>
            <c:numRef>
              <c:f>'DS Tables'!$D$161:$D$189</c:f>
              <c:numCache>
                <c:formatCode>_(* #,##0.00_);_(* \(#,##0.00\);_(* "-"??_);_(@_)</c:formatCode>
                <c:ptCount val="29"/>
                <c:pt idx="0">
                  <c:v>12.766712570442197</c:v>
                </c:pt>
                <c:pt idx="1">
                  <c:v>14.042986438096861</c:v>
                </c:pt>
                <c:pt idx="2">
                  <c:v>16.248077138296431</c:v>
                </c:pt>
                <c:pt idx="3">
                  <c:v>19.282823597622841</c:v>
                </c:pt>
                <c:pt idx="4">
                  <c:v>46.221990108486843</c:v>
                </c:pt>
                <c:pt idx="5">
                  <c:v>4.9266114747484</c:v>
                </c:pt>
                <c:pt idx="6">
                  <c:v>5.5346834746017688</c:v>
                </c:pt>
                <c:pt idx="7">
                  <c:v>7.5940648196315976</c:v>
                </c:pt>
                <c:pt idx="8">
                  <c:v>8.2974408795275281</c:v>
                </c:pt>
                <c:pt idx="9">
                  <c:v>9.7484395738086782</c:v>
                </c:pt>
                <c:pt idx="10">
                  <c:v>10.175130024631518</c:v>
                </c:pt>
                <c:pt idx="11">
                  <c:v>16.025107042923349</c:v>
                </c:pt>
                <c:pt idx="12">
                  <c:v>4.4970278463295399</c:v>
                </c:pt>
                <c:pt idx="13">
                  <c:v>5.5875390530869353</c:v>
                </c:pt>
                <c:pt idx="14">
                  <c:v>6.2458868535590915</c:v>
                </c:pt>
                <c:pt idx="15">
                  <c:v>8.0816086792846473</c:v>
                </c:pt>
                <c:pt idx="16">
                  <c:v>9.4942362988502058</c:v>
                </c:pt>
                <c:pt idx="17">
                  <c:v>5.5163960277246602</c:v>
                </c:pt>
                <c:pt idx="18">
                  <c:v>4.5133955014598488</c:v>
                </c:pt>
                <c:pt idx="19">
                  <c:v>4.7669779368601182</c:v>
                </c:pt>
                <c:pt idx="20">
                  <c:v>5.6962010617538876</c:v>
                </c:pt>
                <c:pt idx="21">
                  <c:v>634.17289019222972</c:v>
                </c:pt>
                <c:pt idx="22">
                  <c:v>9.1401385382978617</c:v>
                </c:pt>
                <c:pt idx="23">
                  <c:v>4.7084617636235642</c:v>
                </c:pt>
                <c:pt idx="24">
                  <c:v>7.7578632432313803</c:v>
                </c:pt>
                <c:pt idx="25">
                  <c:v>8.5838864301800264</c:v>
                </c:pt>
                <c:pt idx="26">
                  <c:v>2.3943572132326807</c:v>
                </c:pt>
                <c:pt idx="27">
                  <c:v>2.9217898907679687</c:v>
                </c:pt>
                <c:pt idx="28">
                  <c:v>56.559848467368241</c:v>
                </c:pt>
              </c:numCache>
            </c:numRef>
          </c:yVal>
          <c:bubbleSize>
            <c:numRef>
              <c:f>'DS Tables'!$C$161:$C$189</c:f>
              <c:numCache>
                <c:formatCode>_(* #,##0.00_);_(* \(#,##0.00\);_(* "-"??_);_(@_)</c:formatCode>
                <c:ptCount val="29"/>
                <c:pt idx="0">
                  <c:v>48281.46</c:v>
                </c:pt>
                <c:pt idx="1">
                  <c:v>15191.53</c:v>
                </c:pt>
                <c:pt idx="2">
                  <c:v>17240.53</c:v>
                </c:pt>
                <c:pt idx="3">
                  <c:v>59864.49</c:v>
                </c:pt>
                <c:pt idx="4">
                  <c:v>31893.98</c:v>
                </c:pt>
                <c:pt idx="5">
                  <c:v>2859.0729999999999</c:v>
                </c:pt>
                <c:pt idx="6">
                  <c:v>8714.4380000000001</c:v>
                </c:pt>
                <c:pt idx="7">
                  <c:v>10860.91</c:v>
                </c:pt>
                <c:pt idx="8">
                  <c:v>6529.8580000000002</c:v>
                </c:pt>
                <c:pt idx="9">
                  <c:v>5471.223</c:v>
                </c:pt>
                <c:pt idx="10">
                  <c:v>2039.2380000000001</c:v>
                </c:pt>
                <c:pt idx="11">
                  <c:v>3750.355</c:v>
                </c:pt>
                <c:pt idx="12">
                  <c:v>1583.9780000000001</c:v>
                </c:pt>
                <c:pt idx="13">
                  <c:v>1990.627</c:v>
                </c:pt>
                <c:pt idx="14">
                  <c:v>2010.328</c:v>
                </c:pt>
                <c:pt idx="15">
                  <c:v>2138.19</c:v>
                </c:pt>
                <c:pt idx="16">
                  <c:v>1932.4259999999999</c:v>
                </c:pt>
                <c:pt idx="17">
                  <c:v>1179.777</c:v>
                </c:pt>
                <c:pt idx="18">
                  <c:v>1291.5509999999999</c:v>
                </c:pt>
                <c:pt idx="19">
                  <c:v>1104.8869999999999</c:v>
                </c:pt>
                <c:pt idx="20">
                  <c:v>2256.4760000000001</c:v>
                </c:pt>
                <c:pt idx="21">
                  <c:v>97.313829999999996</c:v>
                </c:pt>
                <c:pt idx="22">
                  <c:v>857.61599999999999</c:v>
                </c:pt>
                <c:pt idx="23">
                  <c:v>378.41660000000002</c:v>
                </c:pt>
                <c:pt idx="24">
                  <c:v>673.53470000000004</c:v>
                </c:pt>
                <c:pt idx="25">
                  <c:v>1587.5340000000001</c:v>
                </c:pt>
                <c:pt idx="26">
                  <c:v>126.8386</c:v>
                </c:pt>
                <c:pt idx="27">
                  <c:v>469.94389999999999</c:v>
                </c:pt>
                <c:pt idx="28">
                  <c:v>1348.1859999999999</c:v>
                </c:pt>
              </c:numCache>
            </c:numRef>
          </c:bubbleSize>
          <c:bubble3D val="0"/>
          <c:extLst>
            <c:ext xmlns:c16="http://schemas.microsoft.com/office/drawing/2014/chart" uri="{C3380CC4-5D6E-409C-BE32-E72D297353CC}">
              <c16:uniqueId val="{00000000-848C-4FE9-9D7B-9298FBAA8282}"/>
            </c:ext>
          </c:extLst>
        </c:ser>
        <c:dLbls>
          <c:dLblPos val="ctr"/>
          <c:showLegendKey val="0"/>
          <c:showVal val="1"/>
          <c:showCatName val="0"/>
          <c:showSerName val="0"/>
          <c:showPercent val="0"/>
          <c:showBubbleSize val="0"/>
        </c:dLbls>
        <c:bubbleScale val="100"/>
        <c:showNegBubbles val="0"/>
        <c:axId val="1161107776"/>
        <c:axId val="1161113680"/>
      </c:bubbleChart>
      <c:valAx>
        <c:axId val="11611077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CA" sz="1200"/>
                  <a:t>Market Cap</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1113680"/>
        <c:crosses val="autoZero"/>
        <c:crossBetween val="midCat"/>
      </c:valAx>
      <c:valAx>
        <c:axId val="1161113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CA" sz="1200"/>
                  <a:t>P/CFPS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1107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Market Cap vs P/E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tx>
            <c:strRef>
              <c:f>'DS Tables'!$H$160:$I$160</c:f>
              <c:strCache>
                <c:ptCount val="1"/>
                <c:pt idx="0">
                  <c:v>Market Cap 2019 P/E</c:v>
                </c:pt>
              </c:strCache>
            </c:strRef>
          </c:tx>
          <c:spPr>
            <a:solidFill>
              <a:schemeClr val="accent1">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'DS Tables'!$F$161:$F$189</c:f>
              <c:strCache>
                <c:ptCount val="29"/>
                <c:pt idx="0">
                  <c:v>Newmont Corporation (XTSE:NGT)</c:v>
                </c:pt>
                <c:pt idx="1">
                  <c:v>Kirkland Lake Gold Ltd (XTSE:KL)</c:v>
                </c:pt>
                <c:pt idx="2">
                  <c:v>Agnico Eagle Mines Ltd (XTSE:AEM)</c:v>
                </c:pt>
                <c:pt idx="3">
                  <c:v>Barrick Gold Corp (XTSE:ABX)</c:v>
                </c:pt>
                <c:pt idx="4">
                  <c:v>Franco-Nevada Corp (XTSE:FNV)</c:v>
                </c:pt>
                <c:pt idx="5">
                  <c:v>Centerra Gold Inc (XTSE:CG)</c:v>
                </c:pt>
                <c:pt idx="6">
                  <c:v>AngloGold Ashanti Ltd (XNYS:AU)</c:v>
                </c:pt>
                <c:pt idx="7">
                  <c:v>Kinross Gold Corp (XTSE:K)</c:v>
                </c:pt>
                <c:pt idx="8">
                  <c:v>B2Gold Corp (XTSE:BTO)</c:v>
                </c:pt>
                <c:pt idx="9">
                  <c:v>Yamana Gold Inc (XTSE:YRI)</c:v>
                </c:pt>
                <c:pt idx="10">
                  <c:v>Pretium Resources Inc (XTSE:PVG)</c:v>
                </c:pt>
                <c:pt idx="11">
                  <c:v>Alamos Gold Inc (XNYS:AGI)</c:v>
                </c:pt>
                <c:pt idx="12">
                  <c:v>Centamin PLC (XTSE:CEE)</c:v>
                </c:pt>
                <c:pt idx="13">
                  <c:v>Eldorado Gold Corp (XTSE:ELD)</c:v>
                </c:pt>
                <c:pt idx="14">
                  <c:v>Iamgold Corp (XTSE:IMG)</c:v>
                </c:pt>
                <c:pt idx="15">
                  <c:v>Lundin Gold Inc (XTSE:LUG)</c:v>
                </c:pt>
                <c:pt idx="16">
                  <c:v>SSR Mining Inc (XTSE:SSRM)</c:v>
                </c:pt>
                <c:pt idx="17">
                  <c:v>Semafo Inc (XTSE:SMF)</c:v>
                </c:pt>
                <c:pt idx="18">
                  <c:v>Torex Gold Resources Inc (XTSE:TXG)</c:v>
                </c:pt>
                <c:pt idx="19">
                  <c:v>Dundee Precious Metals Inc (XTSE:DPM)</c:v>
                </c:pt>
                <c:pt idx="20">
                  <c:v>Equinox Gold Corp (XTSE:EQX)</c:v>
                </c:pt>
                <c:pt idx="21">
                  <c:v>Harte Gold Corp (XTSE:HRT)</c:v>
                </c:pt>
                <c:pt idx="22">
                  <c:v>K92 Mining Inc (XTSX:KNT)</c:v>
                </c:pt>
                <c:pt idx="23">
                  <c:v>McEwen Mining Inc (XTSE:MUX)</c:v>
                </c:pt>
                <c:pt idx="24">
                  <c:v>New Gold Inc (XTSE:NGD)</c:v>
                </c:pt>
                <c:pt idx="25">
                  <c:v>Teranga Gold Corp (XTSE:TGZ)</c:v>
                </c:pt>
                <c:pt idx="26">
                  <c:v>TMAC Resources Inc (XTSE:TMR)</c:v>
                </c:pt>
                <c:pt idx="27">
                  <c:v>Victoria Gold Corp (XTSE:VGCX)</c:v>
                </c:pt>
                <c:pt idx="28">
                  <c:v>Wesdome Gold Mines Ltd (XTSE:WDO)</c:v>
                </c:pt>
              </c:strCache>
            </c:strRef>
          </c:xVal>
          <c:yVal>
            <c:numRef>
              <c:f>'DS Tables'!$I$161:$I$189</c:f>
              <c:numCache>
                <c:formatCode>_(* #,##0.00_);_(* \(#,##0.00\);_(* "-"??_);_(@_)</c:formatCode>
                <c:ptCount val="29"/>
                <c:pt idx="0">
                  <c:v>13.09</c:v>
                </c:pt>
                <c:pt idx="1">
                  <c:v>18.649999999999999</c:v>
                </c:pt>
                <c:pt idx="2">
                  <c:v>39.99</c:v>
                </c:pt>
                <c:pt idx="3">
                  <c:v>41.03</c:v>
                </c:pt>
                <c:pt idx="4">
                  <c:v>96.84</c:v>
                </c:pt>
                <c:pt idx="5">
                  <c:v>20.81</c:v>
                </c:pt>
                <c:pt idx="6">
                  <c:v>43.8</c:v>
                </c:pt>
                <c:pt idx="7">
                  <c:v>34.49</c:v>
                </c:pt>
                <c:pt idx="8">
                  <c:v>398.85</c:v>
                </c:pt>
                <c:pt idx="9">
                  <c:v>24.59</c:v>
                </c:pt>
                <c:pt idx="10">
                  <c:v>92.18</c:v>
                </c:pt>
                <c:pt idx="11">
                  <c:v>31.32</c:v>
                </c:pt>
                <c:pt idx="12">
                  <c:v>35.33</c:v>
                </c:pt>
                <c:pt idx="13">
                  <c:v>20.450980392156861</c:v>
                </c:pt>
                <c:pt idx="14">
                  <c:v>-5.5113636363636358</c:v>
                </c:pt>
                <c:pt idx="15">
                  <c:v>0</c:v>
                </c:pt>
                <c:pt idx="16">
                  <c:v>68.319999999999993</c:v>
                </c:pt>
                <c:pt idx="17">
                  <c:v>13.78</c:v>
                </c:pt>
                <c:pt idx="18">
                  <c:v>36.53</c:v>
                </c:pt>
                <c:pt idx="19">
                  <c:v>38.83</c:v>
                </c:pt>
                <c:pt idx="20">
                  <c:v>-18.163636363636364</c:v>
                </c:pt>
                <c:pt idx="21">
                  <c:v>-1.4999999999999998</c:v>
                </c:pt>
                <c:pt idx="22">
                  <c:v>9.19</c:v>
                </c:pt>
                <c:pt idx="23">
                  <c:v>-9.7647058823529402</c:v>
                </c:pt>
                <c:pt idx="24">
                  <c:v>-9.5833333333333321</c:v>
                </c:pt>
                <c:pt idx="25">
                  <c:v>-22.64516129032258</c:v>
                </c:pt>
                <c:pt idx="26">
                  <c:v>0</c:v>
                </c:pt>
                <c:pt idx="27">
                  <c:v>0</c:v>
                </c:pt>
                <c:pt idx="28">
                  <c:v>44.22</c:v>
                </c:pt>
              </c:numCache>
            </c:numRef>
          </c:yVal>
          <c:bubbleSize>
            <c:numRef>
              <c:f>'DS Tables'!$H$161:$H$189</c:f>
              <c:numCache>
                <c:formatCode>_(* #,##0.00_);_(* \(#,##0.00\);_(* "-"??_);_(@_)</c:formatCode>
                <c:ptCount val="29"/>
                <c:pt idx="0">
                  <c:v>48281.46</c:v>
                </c:pt>
                <c:pt idx="1">
                  <c:v>15191.53</c:v>
                </c:pt>
                <c:pt idx="2">
                  <c:v>17240.53</c:v>
                </c:pt>
                <c:pt idx="3">
                  <c:v>59864.49</c:v>
                </c:pt>
                <c:pt idx="4">
                  <c:v>31893.98</c:v>
                </c:pt>
                <c:pt idx="5">
                  <c:v>2859.0729999999999</c:v>
                </c:pt>
                <c:pt idx="6">
                  <c:v>8714.4380000000001</c:v>
                </c:pt>
                <c:pt idx="7">
                  <c:v>10860.91</c:v>
                </c:pt>
                <c:pt idx="8">
                  <c:v>6529.8580000000002</c:v>
                </c:pt>
                <c:pt idx="9">
                  <c:v>5471.223</c:v>
                </c:pt>
                <c:pt idx="10">
                  <c:v>2039.2380000000001</c:v>
                </c:pt>
                <c:pt idx="11">
                  <c:v>3750.355</c:v>
                </c:pt>
                <c:pt idx="12">
                  <c:v>1583.9780000000001</c:v>
                </c:pt>
                <c:pt idx="13">
                  <c:v>1990.627</c:v>
                </c:pt>
                <c:pt idx="14">
                  <c:v>2010.328</c:v>
                </c:pt>
                <c:pt idx="15">
                  <c:v>2138.19</c:v>
                </c:pt>
                <c:pt idx="16">
                  <c:v>1932.4259999999999</c:v>
                </c:pt>
                <c:pt idx="17">
                  <c:v>1179.777</c:v>
                </c:pt>
                <c:pt idx="18">
                  <c:v>1291.5509999999999</c:v>
                </c:pt>
                <c:pt idx="19">
                  <c:v>1104.8869999999999</c:v>
                </c:pt>
                <c:pt idx="20">
                  <c:v>2256.4760000000001</c:v>
                </c:pt>
                <c:pt idx="21">
                  <c:v>97.313829999999996</c:v>
                </c:pt>
                <c:pt idx="22">
                  <c:v>857.61599999999999</c:v>
                </c:pt>
                <c:pt idx="23">
                  <c:v>378.41660000000002</c:v>
                </c:pt>
                <c:pt idx="24">
                  <c:v>673.53470000000004</c:v>
                </c:pt>
                <c:pt idx="25">
                  <c:v>1587.5340000000001</c:v>
                </c:pt>
                <c:pt idx="26">
                  <c:v>126.8386</c:v>
                </c:pt>
                <c:pt idx="27">
                  <c:v>469.94389999999999</c:v>
                </c:pt>
                <c:pt idx="28">
                  <c:v>1348.1859999999999</c:v>
                </c:pt>
              </c:numCache>
            </c:numRef>
          </c:bubbleSize>
          <c:bubble3D val="0"/>
          <c:extLst>
            <c:ext xmlns:c16="http://schemas.microsoft.com/office/drawing/2014/chart" uri="{C3380CC4-5D6E-409C-BE32-E72D297353CC}">
              <c16:uniqueId val="{00000000-A7EA-4772-9BAA-A09BBD282967}"/>
            </c:ext>
          </c:extLst>
        </c:ser>
        <c:dLbls>
          <c:dLblPos val="ctr"/>
          <c:showLegendKey val="0"/>
          <c:showVal val="1"/>
          <c:showCatName val="0"/>
          <c:showSerName val="0"/>
          <c:showPercent val="0"/>
          <c:showBubbleSize val="0"/>
        </c:dLbls>
        <c:bubbleScale val="100"/>
        <c:showNegBubbles val="0"/>
        <c:axId val="1161107776"/>
        <c:axId val="1161113680"/>
      </c:bubbleChart>
      <c:valAx>
        <c:axId val="11611077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CA" sz="1200"/>
                  <a:t>Market</a:t>
                </a:r>
                <a:r>
                  <a:rPr lang="en-CA" sz="1200" baseline="0"/>
                  <a:t> Cap</a:t>
                </a:r>
                <a:endParaRPr lang="en-CA" sz="1200"/>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1113680"/>
        <c:crosses val="autoZero"/>
        <c:crossBetween val="midCat"/>
      </c:valAx>
      <c:valAx>
        <c:axId val="1161113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CA" sz="1200"/>
                  <a:t>P/E</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1107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CA" b="1"/>
              <a:t>Rev 3-Year Growth</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'DS Tables'!$C$98</c:f>
              <c:strCache>
                <c:ptCount val="1"/>
                <c:pt idx="0">
                  <c:v>Rev 3Yr Growth</c:v>
                </c:pt>
              </c:strCache>
            </c:strRef>
          </c:tx>
          <c:spPr>
            <a:solidFill>
              <a:schemeClr val="accent1"/>
            </a:solidFill>
            <a:ln>
              <a:noFill/>
            </a:ln>
            <a:effectLst/>
          </c:spPr>
          <c:invertIfNegative val="0"/>
          <c:cat>
            <c:strRef>
              <c:f>'DS Tables'!$A$99:$A$127</c:f>
              <c:strCache>
                <c:ptCount val="29"/>
                <c:pt idx="0">
                  <c:v>Newmont Corporation (XTSE:NGT)</c:v>
                </c:pt>
                <c:pt idx="1">
                  <c:v>Kirkland Lake Gold Ltd (XTSE:KL)</c:v>
                </c:pt>
                <c:pt idx="2">
                  <c:v>Agnico Eagle Mines Ltd (XTSE:AEM)</c:v>
                </c:pt>
                <c:pt idx="3">
                  <c:v>Barrick Gold Corp (XTSE:ABX)</c:v>
                </c:pt>
                <c:pt idx="4">
                  <c:v>Franco-Nevada Corp (XTSE:FNV)</c:v>
                </c:pt>
                <c:pt idx="5">
                  <c:v>Centerra Gold Inc (XTSE:CG)</c:v>
                </c:pt>
                <c:pt idx="6">
                  <c:v>AngloGold Ashanti Ltd (XNYS:AU)</c:v>
                </c:pt>
                <c:pt idx="7">
                  <c:v>Kinross Gold Corp (XTSE:K)</c:v>
                </c:pt>
                <c:pt idx="8">
                  <c:v>B2Gold Corp (XTSE:BTO)</c:v>
                </c:pt>
                <c:pt idx="9">
                  <c:v>Yamana Gold Inc (XTSE:YRI)</c:v>
                </c:pt>
                <c:pt idx="10">
                  <c:v>Pretium Resources Inc (XTSE:PVG)</c:v>
                </c:pt>
                <c:pt idx="11">
                  <c:v>Alamos Gold Inc (XNYS:AGI)</c:v>
                </c:pt>
                <c:pt idx="12">
                  <c:v>Centamin PLC (XTSE:CEE)</c:v>
                </c:pt>
                <c:pt idx="13">
                  <c:v>Eldorado Gold Corp (XTSE:ELD)</c:v>
                </c:pt>
                <c:pt idx="14">
                  <c:v>Iamgold Corp (XTSE:IMG)</c:v>
                </c:pt>
                <c:pt idx="15">
                  <c:v>Lundin Gold Inc (XTSE:LUG)</c:v>
                </c:pt>
                <c:pt idx="16">
                  <c:v>SSR Mining Inc (XTSE:SSRM)</c:v>
                </c:pt>
                <c:pt idx="17">
                  <c:v>Semafo Inc (XTSE:SMF)</c:v>
                </c:pt>
                <c:pt idx="18">
                  <c:v>Torex Gold Resources Inc (XTSE:TXG)</c:v>
                </c:pt>
                <c:pt idx="19">
                  <c:v>Dundee Precious Metals Inc (XTSE:DPM)</c:v>
                </c:pt>
                <c:pt idx="20">
                  <c:v>Equinox Gold Corp (XTSE:EQX)</c:v>
                </c:pt>
                <c:pt idx="21">
                  <c:v>Harte Gold Corp (XTSE:HRT)</c:v>
                </c:pt>
                <c:pt idx="22">
                  <c:v>K92 Mining Inc (XTSX:KNT)</c:v>
                </c:pt>
                <c:pt idx="23">
                  <c:v>McEwen Mining Inc (XTSE:MUX)</c:v>
                </c:pt>
                <c:pt idx="24">
                  <c:v>New Gold Inc (XTSE:NGD)</c:v>
                </c:pt>
                <c:pt idx="25">
                  <c:v>Teranga Gold Corp (XTSE:TGZ)</c:v>
                </c:pt>
                <c:pt idx="26">
                  <c:v>TMAC Resources Inc (XTSE:TMR)</c:v>
                </c:pt>
                <c:pt idx="27">
                  <c:v>Victoria Gold Corp (XTSE:VGCX)</c:v>
                </c:pt>
                <c:pt idx="28">
                  <c:v>Wesdome Gold Mines Ltd (XTSE:WDO)</c:v>
                </c:pt>
              </c:strCache>
            </c:strRef>
          </c:cat>
          <c:val>
            <c:numRef>
              <c:f>'DS Tables'!$C$99:$C$127</c:f>
              <c:numCache>
                <c:formatCode>0%</c:formatCode>
                <c:ptCount val="29"/>
                <c:pt idx="0">
                  <c:v>0.31978319783197839</c:v>
                </c:pt>
                <c:pt idx="1">
                  <c:v>0.83999999999999986</c:v>
                </c:pt>
                <c:pt idx="2">
                  <c:v>0.11160714285714285</c:v>
                </c:pt>
                <c:pt idx="3">
                  <c:v>0.16129032258064535</c:v>
                </c:pt>
                <c:pt idx="4">
                  <c:v>0.25051851851851853</c:v>
                </c:pt>
                <c:pt idx="5">
                  <c:v>8.3333333333333412E-2</c:v>
                </c:pt>
                <c:pt idx="6">
                  <c:v>4.129793510324474E-2</c:v>
                </c:pt>
                <c:pt idx="7">
                  <c:v>0.20000000000000018</c:v>
                </c:pt>
                <c:pt idx="8">
                  <c:v>0.81249999999999989</c:v>
                </c:pt>
                <c:pt idx="9">
                  <c:v>-0.10555555555555553</c:v>
                </c:pt>
                <c:pt idx="10">
                  <c:v>1.7247191011235956</c:v>
                </c:pt>
                <c:pt idx="11">
                  <c:v>0.25847457627118658</c:v>
                </c:pt>
                <c:pt idx="12">
                  <c:v>-5.1048167706833139E-2</c:v>
                </c:pt>
                <c:pt idx="13">
                  <c:v>0.58056265984654731</c:v>
                </c:pt>
                <c:pt idx="14">
                  <c:v>-1.8348623853211024E-2</c:v>
                </c:pt>
                <c:pt idx="15">
                  <c:v>0</c:v>
                </c:pt>
                <c:pt idx="16">
                  <c:v>0.35225171023018481</c:v>
                </c:pt>
                <c:pt idx="17">
                  <c:v>0.83694351133248379</c:v>
                </c:pt>
                <c:pt idx="18">
                  <c:v>1.0349317243569387</c:v>
                </c:pt>
                <c:pt idx="19">
                  <c:v>0.34927904397295073</c:v>
                </c:pt>
                <c:pt idx="20">
                  <c:v>17.779800000000002</c:v>
                </c:pt>
                <c:pt idx="21">
                  <c:v>0</c:v>
                </c:pt>
                <c:pt idx="22">
                  <c:v>0.92452830188679247</c:v>
                </c:pt>
                <c:pt idx="23">
                  <c:v>0.73440047428486732</c:v>
                </c:pt>
                <c:pt idx="24">
                  <c:v>0.62233084641111402</c:v>
                </c:pt>
                <c:pt idx="25">
                  <c:v>0.21191031267142074</c:v>
                </c:pt>
                <c:pt idx="26">
                  <c:v>0</c:v>
                </c:pt>
                <c:pt idx="27">
                  <c:v>0</c:v>
                </c:pt>
                <c:pt idx="28">
                  <c:v>0.70695398709140111</c:v>
                </c:pt>
              </c:numCache>
            </c:numRef>
          </c:val>
          <c:extLst>
            <c:ext xmlns:c16="http://schemas.microsoft.com/office/drawing/2014/chart" uri="{C3380CC4-5D6E-409C-BE32-E72D297353CC}">
              <c16:uniqueId val="{00000000-30A2-4C00-9DE9-DC99CC4DC339}"/>
            </c:ext>
          </c:extLst>
        </c:ser>
        <c:dLbls>
          <c:showLegendKey val="0"/>
          <c:showVal val="0"/>
          <c:showCatName val="0"/>
          <c:showSerName val="0"/>
          <c:showPercent val="0"/>
          <c:showBubbleSize val="0"/>
        </c:dLbls>
        <c:gapWidth val="25"/>
        <c:axId val="852460920"/>
        <c:axId val="852459608"/>
      </c:barChart>
      <c:catAx>
        <c:axId val="852460920"/>
        <c:scaling>
          <c:orientation val="minMax"/>
        </c:scaling>
        <c:delete val="0"/>
        <c:axPos val="l"/>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CA" sz="1050"/>
                  <a:t>Comapny</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52459608"/>
        <c:crosses val="autoZero"/>
        <c:auto val="1"/>
        <c:lblAlgn val="ctr"/>
        <c:lblOffset val="100"/>
        <c:noMultiLvlLbl val="0"/>
      </c:catAx>
      <c:valAx>
        <c:axId val="852459608"/>
        <c:scaling>
          <c:orientation val="minMax"/>
          <c:max val="3"/>
          <c:min val="0"/>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CA" sz="1050"/>
                  <a:t>3</a:t>
                </a:r>
                <a:r>
                  <a:rPr lang="en-CA" sz="1050" baseline="0"/>
                  <a:t> Year Growth (%) </a:t>
                </a:r>
                <a:endParaRPr lang="en-CA" sz="1050"/>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460920"/>
        <c:crosses val="autoZero"/>
        <c:crossBetween val="between"/>
        <c:majorUnit val="0.2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CA" b="1"/>
              <a:t>Return on Equity % TTM (12 Month Trailing)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'DS Tables'!$G$98</c:f>
              <c:strCache>
                <c:ptCount val="1"/>
                <c:pt idx="0">
                  <c:v>ROE % TTM </c:v>
                </c:pt>
              </c:strCache>
            </c:strRef>
          </c:tx>
          <c:spPr>
            <a:solidFill>
              <a:schemeClr val="accent1"/>
            </a:solidFill>
            <a:ln>
              <a:noFill/>
            </a:ln>
            <a:effectLst/>
          </c:spPr>
          <c:invertIfNegative val="0"/>
          <c:cat>
            <c:strRef>
              <c:f>'DS Tables'!$E$99:$E$127</c:f>
              <c:strCache>
                <c:ptCount val="29"/>
                <c:pt idx="0">
                  <c:v>Newmont Corporation (XTSE:NGT)</c:v>
                </c:pt>
                <c:pt idx="1">
                  <c:v>Kirkland Lake Gold Ltd (XTSE:KL)</c:v>
                </c:pt>
                <c:pt idx="2">
                  <c:v>Agnico Eagle Mines Ltd (XTSE:AEM)</c:v>
                </c:pt>
                <c:pt idx="3">
                  <c:v>Barrick Gold Corp (XTSE:ABX)</c:v>
                </c:pt>
                <c:pt idx="4">
                  <c:v>Franco-Nevada Corp (XTSE:FNV)</c:v>
                </c:pt>
                <c:pt idx="5">
                  <c:v>Centerra Gold Inc (XTSE:CG)</c:v>
                </c:pt>
                <c:pt idx="6">
                  <c:v>AngloGold Ashanti Ltd (XNYS:AU)</c:v>
                </c:pt>
                <c:pt idx="7">
                  <c:v>Kinross Gold Corp (XTSE:K)</c:v>
                </c:pt>
                <c:pt idx="8">
                  <c:v>B2Gold Corp (XTSE:BTO)</c:v>
                </c:pt>
                <c:pt idx="9">
                  <c:v>Yamana Gold Inc (XTSE:YRI)</c:v>
                </c:pt>
                <c:pt idx="10">
                  <c:v>Pretium Resources Inc (XTSE:PVG)</c:v>
                </c:pt>
                <c:pt idx="11">
                  <c:v>Alamos Gold Inc (XNYS:AGI)</c:v>
                </c:pt>
                <c:pt idx="12">
                  <c:v>Centamin PLC (XTSE:CEE)</c:v>
                </c:pt>
                <c:pt idx="13">
                  <c:v>Eldorado Gold Corp (XTSE:ELD)</c:v>
                </c:pt>
                <c:pt idx="14">
                  <c:v>Iamgold Corp (XTSE:IMG)</c:v>
                </c:pt>
                <c:pt idx="15">
                  <c:v>Lundin Gold Inc (XTSE:LUG)</c:v>
                </c:pt>
                <c:pt idx="16">
                  <c:v>SSR Mining Inc (XTSE:SSRM)</c:v>
                </c:pt>
                <c:pt idx="17">
                  <c:v>Semafo Inc (XTSE:SMF)</c:v>
                </c:pt>
                <c:pt idx="18">
                  <c:v>Torex Gold Resources Inc (XTSE:TXG)</c:v>
                </c:pt>
                <c:pt idx="19">
                  <c:v>Dundee Precious Metals Inc (XTSE:DPM)</c:v>
                </c:pt>
                <c:pt idx="20">
                  <c:v>Equinox Gold Corp (XTSE:EQX)</c:v>
                </c:pt>
                <c:pt idx="21">
                  <c:v>Harte Gold Corp (XTSE:HRT)</c:v>
                </c:pt>
                <c:pt idx="22">
                  <c:v>K92 Mining Inc (XTSX:KNT)</c:v>
                </c:pt>
                <c:pt idx="23">
                  <c:v>McEwen Mining Inc (XTSE:MUX)</c:v>
                </c:pt>
                <c:pt idx="24">
                  <c:v>New Gold Inc (XTSE:NGD)</c:v>
                </c:pt>
                <c:pt idx="25">
                  <c:v>Teranga Gold Corp (XTSE:TGZ)</c:v>
                </c:pt>
                <c:pt idx="26">
                  <c:v>TMAC Resources Inc (XTSE:TMR)</c:v>
                </c:pt>
                <c:pt idx="27">
                  <c:v>Victoria Gold Corp (XTSE:VGCX)</c:v>
                </c:pt>
                <c:pt idx="28">
                  <c:v>Wesdome Gold Mines Ltd (XTSE:WDO)</c:v>
                </c:pt>
              </c:strCache>
            </c:strRef>
          </c:cat>
          <c:val>
            <c:numRef>
              <c:f>'DS Tables'!$G$99:$G$127</c:f>
              <c:numCache>
                <c:formatCode>0%</c:formatCode>
                <c:ptCount val="29"/>
                <c:pt idx="0">
                  <c:v>0.1757</c:v>
                </c:pt>
                <c:pt idx="1">
                  <c:v>0.36370000000000002</c:v>
                </c:pt>
                <c:pt idx="2">
                  <c:v>9.7900000000000001E-2</c:v>
                </c:pt>
                <c:pt idx="3">
                  <c:v>0.27350000000000002</c:v>
                </c:pt>
                <c:pt idx="4">
                  <c:v>7.0999999999999994E-2</c:v>
                </c:pt>
                <c:pt idx="5">
                  <c:v>-4.4400000000000002E-2</c:v>
                </c:pt>
                <c:pt idx="6">
                  <c:v>-2.5999999999999999E-3</c:v>
                </c:pt>
                <c:pt idx="7">
                  <c:v>0.14630000000000001</c:v>
                </c:pt>
                <c:pt idx="8">
                  <c:v>0.16289999999999999</c:v>
                </c:pt>
                <c:pt idx="9">
                  <c:v>5.5199999999999999E-2</c:v>
                </c:pt>
                <c:pt idx="10">
                  <c:v>4.41E-2</c:v>
                </c:pt>
                <c:pt idx="11">
                  <c:v>3.6299999999999999E-2</c:v>
                </c:pt>
                <c:pt idx="12">
                  <c:v>4.19E-2</c:v>
                </c:pt>
                <c:pt idx="13">
                  <c:v>2.41E-2</c:v>
                </c:pt>
                <c:pt idx="14">
                  <c:v>-0.16250000000000001</c:v>
                </c:pt>
                <c:pt idx="15">
                  <c:v>0</c:v>
                </c:pt>
                <c:pt idx="16">
                  <c:v>5.4399999999999997E-2</c:v>
                </c:pt>
                <c:pt idx="17">
                  <c:v>6.6100000000000006E-2</c:v>
                </c:pt>
                <c:pt idx="18">
                  <c:v>8.9300000000000004E-2</c:v>
                </c:pt>
                <c:pt idx="19">
                  <c:v>3.1199999999999999E-2</c:v>
                </c:pt>
                <c:pt idx="20">
                  <c:v>-5.2200000000000003E-2</c:v>
                </c:pt>
                <c:pt idx="21">
                  <c:v>-88.6327</c:v>
                </c:pt>
                <c:pt idx="22">
                  <c:v>0.33639999999999998</c:v>
                </c:pt>
                <c:pt idx="23">
                  <c:v>-0.12130000000000001</c:v>
                </c:pt>
                <c:pt idx="24">
                  <c:v>-7.6499999999999999E-2</c:v>
                </c:pt>
                <c:pt idx="25">
                  <c:v>-5.91E-2</c:v>
                </c:pt>
                <c:pt idx="26">
                  <c:v>0</c:v>
                </c:pt>
                <c:pt idx="27">
                  <c:v>0</c:v>
                </c:pt>
                <c:pt idx="28">
                  <c:v>0.22520000000000001</c:v>
                </c:pt>
              </c:numCache>
            </c:numRef>
          </c:val>
          <c:extLst>
            <c:ext xmlns:c16="http://schemas.microsoft.com/office/drawing/2014/chart" uri="{C3380CC4-5D6E-409C-BE32-E72D297353CC}">
              <c16:uniqueId val="{00000000-9CEB-4A97-BADC-EF2ACB281938}"/>
            </c:ext>
          </c:extLst>
        </c:ser>
        <c:dLbls>
          <c:showLegendKey val="0"/>
          <c:showVal val="0"/>
          <c:showCatName val="0"/>
          <c:showSerName val="0"/>
          <c:showPercent val="0"/>
          <c:showBubbleSize val="0"/>
        </c:dLbls>
        <c:gapWidth val="25"/>
        <c:axId val="852460920"/>
        <c:axId val="852459608"/>
      </c:barChart>
      <c:catAx>
        <c:axId val="852460920"/>
        <c:scaling>
          <c:orientation val="minMax"/>
        </c:scaling>
        <c:delete val="0"/>
        <c:axPos val="l"/>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CA" sz="1050"/>
                  <a:t>Company</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52459608"/>
        <c:crosses val="autoZero"/>
        <c:auto val="1"/>
        <c:lblAlgn val="ctr"/>
        <c:lblOffset val="100"/>
        <c:noMultiLvlLbl val="0"/>
      </c:catAx>
      <c:valAx>
        <c:axId val="852459608"/>
        <c:scaling>
          <c:orientation val="minMax"/>
          <c:min val="0"/>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CA" sz="1050"/>
                  <a:t>ROE (%)</a:t>
                </a: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460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400" b="1" i="0" u="none" strike="noStrike" baseline="0">
                <a:effectLst/>
              </a:rPr>
              <a:t>Return of Assets % TTM (12 Month Trailing) </a:t>
            </a:r>
            <a:r>
              <a:rPr lang="en-CA" sz="1400" b="0" i="0" u="none" strike="noStrike" baseline="0"/>
              <a:t> </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'DS Tables'!$C$129</c:f>
              <c:strCache>
                <c:ptCount val="1"/>
                <c:pt idx="0">
                  <c:v>ROA% TTM </c:v>
                </c:pt>
              </c:strCache>
            </c:strRef>
          </c:tx>
          <c:spPr>
            <a:solidFill>
              <a:schemeClr val="accent1"/>
            </a:solidFill>
            <a:ln>
              <a:noFill/>
            </a:ln>
            <a:effectLst/>
          </c:spPr>
          <c:invertIfNegative val="0"/>
          <c:cat>
            <c:strRef>
              <c:f>'DS Tables'!$A$99:$A$127</c:f>
              <c:strCache>
                <c:ptCount val="29"/>
                <c:pt idx="0">
                  <c:v>Newmont Corporation (XTSE:NGT)</c:v>
                </c:pt>
                <c:pt idx="1">
                  <c:v>Kirkland Lake Gold Ltd (XTSE:KL)</c:v>
                </c:pt>
                <c:pt idx="2">
                  <c:v>Agnico Eagle Mines Ltd (XTSE:AEM)</c:v>
                </c:pt>
                <c:pt idx="3">
                  <c:v>Barrick Gold Corp (XTSE:ABX)</c:v>
                </c:pt>
                <c:pt idx="4">
                  <c:v>Franco-Nevada Corp (XTSE:FNV)</c:v>
                </c:pt>
                <c:pt idx="5">
                  <c:v>Centerra Gold Inc (XTSE:CG)</c:v>
                </c:pt>
                <c:pt idx="6">
                  <c:v>AngloGold Ashanti Ltd (XNYS:AU)</c:v>
                </c:pt>
                <c:pt idx="7">
                  <c:v>Kinross Gold Corp (XTSE:K)</c:v>
                </c:pt>
                <c:pt idx="8">
                  <c:v>B2Gold Corp (XTSE:BTO)</c:v>
                </c:pt>
                <c:pt idx="9">
                  <c:v>Yamana Gold Inc (XTSE:YRI)</c:v>
                </c:pt>
                <c:pt idx="10">
                  <c:v>Pretium Resources Inc (XTSE:PVG)</c:v>
                </c:pt>
                <c:pt idx="11">
                  <c:v>Alamos Gold Inc (XNYS:AGI)</c:v>
                </c:pt>
                <c:pt idx="12">
                  <c:v>Centamin PLC (XTSE:CEE)</c:v>
                </c:pt>
                <c:pt idx="13">
                  <c:v>Eldorado Gold Corp (XTSE:ELD)</c:v>
                </c:pt>
                <c:pt idx="14">
                  <c:v>Iamgold Corp (XTSE:IMG)</c:v>
                </c:pt>
                <c:pt idx="15">
                  <c:v>Lundin Gold Inc (XTSE:LUG)</c:v>
                </c:pt>
                <c:pt idx="16">
                  <c:v>SSR Mining Inc (XTSE:SSRM)</c:v>
                </c:pt>
                <c:pt idx="17">
                  <c:v>Semafo Inc (XTSE:SMF)</c:v>
                </c:pt>
                <c:pt idx="18">
                  <c:v>Torex Gold Resources Inc (XTSE:TXG)</c:v>
                </c:pt>
                <c:pt idx="19">
                  <c:v>Dundee Precious Metals Inc (XTSE:DPM)</c:v>
                </c:pt>
                <c:pt idx="20">
                  <c:v>Equinox Gold Corp (XTSE:EQX)</c:v>
                </c:pt>
                <c:pt idx="21">
                  <c:v>Harte Gold Corp (XTSE:HRT)</c:v>
                </c:pt>
                <c:pt idx="22">
                  <c:v>K92 Mining Inc (XTSX:KNT)</c:v>
                </c:pt>
                <c:pt idx="23">
                  <c:v>McEwen Mining Inc (XTSE:MUX)</c:v>
                </c:pt>
                <c:pt idx="24">
                  <c:v>New Gold Inc (XTSE:NGD)</c:v>
                </c:pt>
                <c:pt idx="25">
                  <c:v>Teranga Gold Corp (XTSE:TGZ)</c:v>
                </c:pt>
                <c:pt idx="26">
                  <c:v>TMAC Resources Inc (XTSE:TMR)</c:v>
                </c:pt>
                <c:pt idx="27">
                  <c:v>Victoria Gold Corp (XTSE:VGCX)</c:v>
                </c:pt>
                <c:pt idx="28">
                  <c:v>Wesdome Gold Mines Ltd (XTSE:WDO)</c:v>
                </c:pt>
              </c:strCache>
            </c:strRef>
          </c:cat>
          <c:val>
            <c:numRef>
              <c:f>'DS Tables'!$C$130:$C$158</c:f>
              <c:numCache>
                <c:formatCode>0%</c:formatCode>
                <c:ptCount val="29"/>
                <c:pt idx="0">
                  <c:v>9.4E-2</c:v>
                </c:pt>
                <c:pt idx="1">
                  <c:v>0.26250000000000001</c:v>
                </c:pt>
                <c:pt idx="2">
                  <c:v>5.6899999999999999E-2</c:v>
                </c:pt>
                <c:pt idx="3">
                  <c:v>0.11840000000000001</c:v>
                </c:pt>
                <c:pt idx="4">
                  <c:v>6.7400000000000002E-2</c:v>
                </c:pt>
                <c:pt idx="5">
                  <c:v>-3.3799999999999997E-2</c:v>
                </c:pt>
                <c:pt idx="6">
                  <c:v>-1E-3</c:v>
                </c:pt>
                <c:pt idx="7">
                  <c:v>8.3900000000000002E-2</c:v>
                </c:pt>
                <c:pt idx="8">
                  <c:v>0.112</c:v>
                </c:pt>
                <c:pt idx="9">
                  <c:v>2.98E-2</c:v>
                </c:pt>
                <c:pt idx="10">
                  <c:v>2.5700000000000001E-2</c:v>
                </c:pt>
                <c:pt idx="11">
                  <c:v>2.8899999999999999E-2</c:v>
                </c:pt>
                <c:pt idx="12">
                  <c:v>0.04</c:v>
                </c:pt>
                <c:pt idx="13">
                  <c:v>1.7399999999999999E-2</c:v>
                </c:pt>
                <c:pt idx="14">
                  <c:v>-0.1055</c:v>
                </c:pt>
                <c:pt idx="15">
                  <c:v>0</c:v>
                </c:pt>
                <c:pt idx="16">
                  <c:v>3.5000000000000003E-2</c:v>
                </c:pt>
                <c:pt idx="17">
                  <c:v>4.6800000000000001E-2</c:v>
                </c:pt>
                <c:pt idx="18">
                  <c:v>5.6899999999999999E-2</c:v>
                </c:pt>
                <c:pt idx="19">
                  <c:v>2.29E-2</c:v>
                </c:pt>
                <c:pt idx="20">
                  <c:v>-3.0800000000000001E-2</c:v>
                </c:pt>
                <c:pt idx="21">
                  <c:v>-0.49459999999999998</c:v>
                </c:pt>
                <c:pt idx="22">
                  <c:v>0.2681</c:v>
                </c:pt>
                <c:pt idx="23">
                  <c:v>-9.5699999999999993E-2</c:v>
                </c:pt>
                <c:pt idx="24">
                  <c:v>-3.4000000000000002E-2</c:v>
                </c:pt>
                <c:pt idx="25">
                  <c:v>-3.1600000000000003E-2</c:v>
                </c:pt>
                <c:pt idx="26">
                  <c:v>0</c:v>
                </c:pt>
                <c:pt idx="27">
                  <c:v>0</c:v>
                </c:pt>
                <c:pt idx="28">
                  <c:v>0.1653</c:v>
                </c:pt>
              </c:numCache>
            </c:numRef>
          </c:val>
          <c:extLst>
            <c:ext xmlns:c16="http://schemas.microsoft.com/office/drawing/2014/chart" uri="{C3380CC4-5D6E-409C-BE32-E72D297353CC}">
              <c16:uniqueId val="{00000000-3E17-4723-B15C-90FF704E4EC5}"/>
            </c:ext>
          </c:extLst>
        </c:ser>
        <c:dLbls>
          <c:showLegendKey val="0"/>
          <c:showVal val="0"/>
          <c:showCatName val="0"/>
          <c:showSerName val="0"/>
          <c:showPercent val="0"/>
          <c:showBubbleSize val="0"/>
        </c:dLbls>
        <c:gapWidth val="25"/>
        <c:axId val="852460920"/>
        <c:axId val="852459608"/>
      </c:barChart>
      <c:catAx>
        <c:axId val="852460920"/>
        <c:scaling>
          <c:orientation val="minMax"/>
        </c:scaling>
        <c:delete val="0"/>
        <c:axPos val="l"/>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CA" sz="1050"/>
                  <a:t>Comapny</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52459608"/>
        <c:crosses val="autoZero"/>
        <c:auto val="1"/>
        <c:lblAlgn val="ctr"/>
        <c:lblOffset val="100"/>
        <c:noMultiLvlLbl val="0"/>
      </c:catAx>
      <c:valAx>
        <c:axId val="852459608"/>
        <c:scaling>
          <c:orientation val="minMax"/>
          <c:max val="0.30000000000000004"/>
          <c:min val="0"/>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a:t>ROA</a:t>
                </a:r>
                <a:r>
                  <a:rPr lang="en-US" sz="1050" baseline="0"/>
                  <a:t> (%)</a:t>
                </a:r>
                <a:endParaRPr lang="en-US" sz="1050"/>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460920"/>
        <c:crosses val="autoZero"/>
        <c:crossBetween val="between"/>
        <c:maj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400" b="1" i="0" u="none" strike="noStrike" baseline="0">
                <a:effectLst/>
              </a:rPr>
              <a:t>Net Margin% TTM</a:t>
            </a:r>
            <a:r>
              <a:rPr lang="en-CA" sz="1400" b="0" i="0" u="none" strike="noStrike" baseline="0"/>
              <a:t> </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'DS Tables'!$G$129</c:f>
              <c:strCache>
                <c:ptCount val="1"/>
                <c:pt idx="0">
                  <c:v>Net Margin% TTM</c:v>
                </c:pt>
              </c:strCache>
            </c:strRef>
          </c:tx>
          <c:spPr>
            <a:solidFill>
              <a:schemeClr val="accent1"/>
            </a:solidFill>
            <a:ln>
              <a:noFill/>
            </a:ln>
            <a:effectLst/>
          </c:spPr>
          <c:invertIfNegative val="0"/>
          <c:cat>
            <c:strRef>
              <c:f>'DS Tables'!$A$99:$A$127</c:f>
              <c:strCache>
                <c:ptCount val="29"/>
                <c:pt idx="0">
                  <c:v>Newmont Corporation (XTSE:NGT)</c:v>
                </c:pt>
                <c:pt idx="1">
                  <c:v>Kirkland Lake Gold Ltd (XTSE:KL)</c:v>
                </c:pt>
                <c:pt idx="2">
                  <c:v>Agnico Eagle Mines Ltd (XTSE:AEM)</c:v>
                </c:pt>
                <c:pt idx="3">
                  <c:v>Barrick Gold Corp (XTSE:ABX)</c:v>
                </c:pt>
                <c:pt idx="4">
                  <c:v>Franco-Nevada Corp (XTSE:FNV)</c:v>
                </c:pt>
                <c:pt idx="5">
                  <c:v>Centerra Gold Inc (XTSE:CG)</c:v>
                </c:pt>
                <c:pt idx="6">
                  <c:v>AngloGold Ashanti Ltd (XNYS:AU)</c:v>
                </c:pt>
                <c:pt idx="7">
                  <c:v>Kinross Gold Corp (XTSE:K)</c:v>
                </c:pt>
                <c:pt idx="8">
                  <c:v>B2Gold Corp (XTSE:BTO)</c:v>
                </c:pt>
                <c:pt idx="9">
                  <c:v>Yamana Gold Inc (XTSE:YRI)</c:v>
                </c:pt>
                <c:pt idx="10">
                  <c:v>Pretium Resources Inc (XTSE:PVG)</c:v>
                </c:pt>
                <c:pt idx="11">
                  <c:v>Alamos Gold Inc (XNYS:AGI)</c:v>
                </c:pt>
                <c:pt idx="12">
                  <c:v>Centamin PLC (XTSE:CEE)</c:v>
                </c:pt>
                <c:pt idx="13">
                  <c:v>Eldorado Gold Corp (XTSE:ELD)</c:v>
                </c:pt>
                <c:pt idx="14">
                  <c:v>Iamgold Corp (XTSE:IMG)</c:v>
                </c:pt>
                <c:pt idx="15">
                  <c:v>Lundin Gold Inc (XTSE:LUG)</c:v>
                </c:pt>
                <c:pt idx="16">
                  <c:v>SSR Mining Inc (XTSE:SSRM)</c:v>
                </c:pt>
                <c:pt idx="17">
                  <c:v>Semafo Inc (XTSE:SMF)</c:v>
                </c:pt>
                <c:pt idx="18">
                  <c:v>Torex Gold Resources Inc (XTSE:TXG)</c:v>
                </c:pt>
                <c:pt idx="19">
                  <c:v>Dundee Precious Metals Inc (XTSE:DPM)</c:v>
                </c:pt>
                <c:pt idx="20">
                  <c:v>Equinox Gold Corp (XTSE:EQX)</c:v>
                </c:pt>
                <c:pt idx="21">
                  <c:v>Harte Gold Corp (XTSE:HRT)</c:v>
                </c:pt>
                <c:pt idx="22">
                  <c:v>K92 Mining Inc (XTSX:KNT)</c:v>
                </c:pt>
                <c:pt idx="23">
                  <c:v>McEwen Mining Inc (XTSE:MUX)</c:v>
                </c:pt>
                <c:pt idx="24">
                  <c:v>New Gold Inc (XTSE:NGD)</c:v>
                </c:pt>
                <c:pt idx="25">
                  <c:v>Teranga Gold Corp (XTSE:TGZ)</c:v>
                </c:pt>
                <c:pt idx="26">
                  <c:v>TMAC Resources Inc (XTSE:TMR)</c:v>
                </c:pt>
                <c:pt idx="27">
                  <c:v>Victoria Gold Corp (XTSE:VGCX)</c:v>
                </c:pt>
                <c:pt idx="28">
                  <c:v>Wesdome Gold Mines Ltd (XTSE:WDO)</c:v>
                </c:pt>
              </c:strCache>
            </c:strRef>
          </c:cat>
          <c:val>
            <c:numRef>
              <c:f>'DS Tables'!$G$130:$G$158</c:f>
              <c:numCache>
                <c:formatCode>0%</c:formatCode>
                <c:ptCount val="29"/>
                <c:pt idx="0">
                  <c:v>0.28799999999999998</c:v>
                </c:pt>
                <c:pt idx="1">
                  <c:v>0.40589999999999998</c:v>
                </c:pt>
                <c:pt idx="2">
                  <c:v>0.18790000000000001</c:v>
                </c:pt>
                <c:pt idx="3">
                  <c:v>0.40849999999999997</c:v>
                </c:pt>
                <c:pt idx="4">
                  <c:v>0.40770000000000001</c:v>
                </c:pt>
                <c:pt idx="5">
                  <c:v>-6.8000000000000005E-2</c:v>
                </c:pt>
                <c:pt idx="6">
                  <c:v>-2E-3</c:v>
                </c:pt>
                <c:pt idx="7">
                  <c:v>0.20549999999999999</c:v>
                </c:pt>
                <c:pt idx="8">
                  <c:v>0.25390000000000001</c:v>
                </c:pt>
                <c:pt idx="9">
                  <c:v>0.1399</c:v>
                </c:pt>
                <c:pt idx="10">
                  <c:v>8.4400000000000003E-2</c:v>
                </c:pt>
                <c:pt idx="11">
                  <c:v>0.14069999999999999</c:v>
                </c:pt>
                <c:pt idx="12">
                  <c:v>8.9800000000000005E-2</c:v>
                </c:pt>
                <c:pt idx="13">
                  <c:v>0.13039999999999999</c:v>
                </c:pt>
                <c:pt idx="14">
                  <c:v>-0.38729999999999998</c:v>
                </c:pt>
                <c:pt idx="15">
                  <c:v>0</c:v>
                </c:pt>
                <c:pt idx="16">
                  <c:v>9.4399999999999998E-2</c:v>
                </c:pt>
                <c:pt idx="17">
                  <c:v>0.1055</c:v>
                </c:pt>
                <c:pt idx="18">
                  <c:v>0.1111</c:v>
                </c:pt>
                <c:pt idx="19">
                  <c:v>5.6000000000000001E-2</c:v>
                </c:pt>
                <c:pt idx="20">
                  <c:v>-0.10199999999999999</c:v>
                </c:pt>
                <c:pt idx="21">
                  <c:v>-1.2377</c:v>
                </c:pt>
                <c:pt idx="22">
                  <c:v>0.32</c:v>
                </c:pt>
                <c:pt idx="23">
                  <c:v>-0.51060000000000005</c:v>
                </c:pt>
                <c:pt idx="24">
                  <c:v>-0.1166</c:v>
                </c:pt>
                <c:pt idx="25">
                  <c:v>-9.4500000000000001E-2</c:v>
                </c:pt>
                <c:pt idx="26">
                  <c:v>0</c:v>
                </c:pt>
                <c:pt idx="27">
                  <c:v>0</c:v>
                </c:pt>
                <c:pt idx="28">
                  <c:v>0.24970000000000001</c:v>
                </c:pt>
              </c:numCache>
            </c:numRef>
          </c:val>
          <c:extLst>
            <c:ext xmlns:c16="http://schemas.microsoft.com/office/drawing/2014/chart" uri="{C3380CC4-5D6E-409C-BE32-E72D297353CC}">
              <c16:uniqueId val="{00000000-9C4F-4B9C-9E56-B77523160C48}"/>
            </c:ext>
          </c:extLst>
        </c:ser>
        <c:dLbls>
          <c:showLegendKey val="0"/>
          <c:showVal val="0"/>
          <c:showCatName val="0"/>
          <c:showSerName val="0"/>
          <c:showPercent val="0"/>
          <c:showBubbleSize val="0"/>
        </c:dLbls>
        <c:gapWidth val="25"/>
        <c:axId val="852460920"/>
        <c:axId val="852459608"/>
      </c:barChart>
      <c:catAx>
        <c:axId val="8524609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Comapny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52459608"/>
        <c:crosses val="autoZero"/>
        <c:auto val="1"/>
        <c:lblAlgn val="ctr"/>
        <c:lblOffset val="100"/>
        <c:noMultiLvlLbl val="0"/>
      </c:catAx>
      <c:valAx>
        <c:axId val="852459608"/>
        <c:scaling>
          <c:orientation val="minMax"/>
          <c:max val="0.5"/>
          <c:min val="0"/>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CA" sz="1050"/>
                  <a:t>Net Margin (%)</a:t>
                </a: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460920"/>
        <c:crosses val="autoZero"/>
        <c:crossBetween val="between"/>
        <c:maj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Risk Rating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'DS Tables'!$C$192</c:f>
              <c:strCache>
                <c:ptCount val="1"/>
                <c:pt idx="0">
                  <c:v>Risk Rating</c:v>
                </c:pt>
              </c:strCache>
            </c:strRef>
          </c:tx>
          <c:spPr>
            <a:solidFill>
              <a:schemeClr val="accent1"/>
            </a:solidFill>
            <a:ln>
              <a:noFill/>
            </a:ln>
            <a:effectLst/>
          </c:spPr>
          <c:invertIfNegative val="0"/>
          <c:cat>
            <c:strRef>
              <c:f>'DS Tables'!$A$193:$A$221</c:f>
              <c:strCache>
                <c:ptCount val="29"/>
                <c:pt idx="0">
                  <c:v>Newmont Corporation (XTSE:NGT)</c:v>
                </c:pt>
                <c:pt idx="1">
                  <c:v>Kirkland Lake Gold Ltd (XTSE:KL)</c:v>
                </c:pt>
                <c:pt idx="2">
                  <c:v>Agnico Eagle Mines Ltd (XTSE:AEM)</c:v>
                </c:pt>
                <c:pt idx="3">
                  <c:v>Barrick Gold Corp (XTSE:ABX)</c:v>
                </c:pt>
                <c:pt idx="4">
                  <c:v>Franco-Nevada Corp (XTSE:FNV)</c:v>
                </c:pt>
                <c:pt idx="5">
                  <c:v>Centerra Gold Inc (XTSE:CG)</c:v>
                </c:pt>
                <c:pt idx="6">
                  <c:v>AngloGold Ashanti Ltd (XNYS:AU)</c:v>
                </c:pt>
                <c:pt idx="7">
                  <c:v>Kinross Gold Corp (XTSE:K)</c:v>
                </c:pt>
                <c:pt idx="8">
                  <c:v>B2Gold Corp (XTSE:BTO)</c:v>
                </c:pt>
                <c:pt idx="9">
                  <c:v>Yamana Gold Inc (XTSE:YRI)</c:v>
                </c:pt>
                <c:pt idx="10">
                  <c:v>Pretium Resources Inc (XTSE:PVG)</c:v>
                </c:pt>
                <c:pt idx="11">
                  <c:v>Alamos Gold Inc (XNYS:AGI)</c:v>
                </c:pt>
                <c:pt idx="12">
                  <c:v>Centamin PLC (XTSE:CEE)</c:v>
                </c:pt>
                <c:pt idx="13">
                  <c:v>Eldorado Gold Corp (XTSE:ELD)</c:v>
                </c:pt>
                <c:pt idx="14">
                  <c:v>Iamgold Corp (XTSE:IMG)</c:v>
                </c:pt>
                <c:pt idx="15">
                  <c:v>Lundin Gold Inc (XTSE:LUG)</c:v>
                </c:pt>
                <c:pt idx="16">
                  <c:v>SSR Mining Inc (XTSE:SSRM)</c:v>
                </c:pt>
                <c:pt idx="17">
                  <c:v>Semafo Inc (XTSE:SMF)</c:v>
                </c:pt>
                <c:pt idx="18">
                  <c:v>Torex Gold Resources Inc (XTSE:TXG)</c:v>
                </c:pt>
                <c:pt idx="19">
                  <c:v>Dundee Precious Metals Inc (XTSE:DPM)</c:v>
                </c:pt>
                <c:pt idx="20">
                  <c:v>Equinox Gold Corp (XTSE:EQX)</c:v>
                </c:pt>
                <c:pt idx="21">
                  <c:v>Harte Gold Corp (XTSE:HRT)</c:v>
                </c:pt>
                <c:pt idx="22">
                  <c:v>K92 Mining Inc (XTSX:KNT)</c:v>
                </c:pt>
                <c:pt idx="23">
                  <c:v>McEwen Mining Inc (XTSE:MUX)</c:v>
                </c:pt>
                <c:pt idx="24">
                  <c:v>New Gold Inc (XTSE:NGD)</c:v>
                </c:pt>
                <c:pt idx="25">
                  <c:v>Teranga Gold Corp (XTSE:TGZ)</c:v>
                </c:pt>
                <c:pt idx="26">
                  <c:v>TMAC Resources Inc (XTSE:TMR)</c:v>
                </c:pt>
                <c:pt idx="27">
                  <c:v>Victoria Gold Corp (XTSE:VGCX)</c:v>
                </c:pt>
                <c:pt idx="28">
                  <c:v>Wesdome Gold Mines Ltd (XTSE:WDO)</c:v>
                </c:pt>
              </c:strCache>
            </c:strRef>
          </c:cat>
          <c:val>
            <c:numRef>
              <c:f>'DS Tables'!$C$193:$C$221</c:f>
              <c:numCache>
                <c:formatCode>_-* #,##0_-;\-* #,##0_-;_-* "-"??_-;_-@_-</c:formatCode>
                <c:ptCount val="29"/>
                <c:pt idx="0">
                  <c:v>76.067219167321298</c:v>
                </c:pt>
                <c:pt idx="1">
                  <c:v>70.416270400711241</c:v>
                </c:pt>
                <c:pt idx="2">
                  <c:v>74.853145400593462</c:v>
                </c:pt>
                <c:pt idx="3">
                  <c:v>58.549534820824881</c:v>
                </c:pt>
                <c:pt idx="4">
                  <c:v>71.8</c:v>
                </c:pt>
                <c:pt idx="5">
                  <c:v>73.357142857142861</c:v>
                </c:pt>
                <c:pt idx="6">
                  <c:v>65.737609876543203</c:v>
                </c:pt>
                <c:pt idx="7">
                  <c:v>70.135273267521782</c:v>
                </c:pt>
                <c:pt idx="8">
                  <c:v>45.354572834994777</c:v>
                </c:pt>
                <c:pt idx="9">
                  <c:v>66.715699999999998</c:v>
                </c:pt>
                <c:pt idx="10">
                  <c:v>81</c:v>
                </c:pt>
                <c:pt idx="11">
                  <c:v>74.234820982514577</c:v>
                </c:pt>
                <c:pt idx="12">
                  <c:v>70</c:v>
                </c:pt>
                <c:pt idx="13">
                  <c:v>78.540656326695853</c:v>
                </c:pt>
                <c:pt idx="14">
                  <c:v>67.902739726027406</c:v>
                </c:pt>
                <c:pt idx="15">
                  <c:v>61.54</c:v>
                </c:pt>
                <c:pt idx="16">
                  <c:v>73.572779317647061</c:v>
                </c:pt>
                <c:pt idx="17">
                  <c:v>63.253588516746404</c:v>
                </c:pt>
                <c:pt idx="18">
                  <c:v>67.239999999999995</c:v>
                </c:pt>
                <c:pt idx="19">
                  <c:v>58.340756756756761</c:v>
                </c:pt>
                <c:pt idx="20">
                  <c:v>63.12</c:v>
                </c:pt>
                <c:pt idx="21">
                  <c:v>77.17</c:v>
                </c:pt>
                <c:pt idx="22">
                  <c:v>65</c:v>
                </c:pt>
                <c:pt idx="23">
                  <c:v>69.291951219512185</c:v>
                </c:pt>
                <c:pt idx="24">
                  <c:v>79.146907216494839</c:v>
                </c:pt>
                <c:pt idx="25">
                  <c:v>69.176892253511355</c:v>
                </c:pt>
                <c:pt idx="26">
                  <c:v>77.27</c:v>
                </c:pt>
                <c:pt idx="27">
                  <c:v>75</c:v>
                </c:pt>
                <c:pt idx="28">
                  <c:v>77.17</c:v>
                </c:pt>
              </c:numCache>
            </c:numRef>
          </c:val>
          <c:extLst>
            <c:ext xmlns:c16="http://schemas.microsoft.com/office/drawing/2014/chart" uri="{C3380CC4-5D6E-409C-BE32-E72D297353CC}">
              <c16:uniqueId val="{00000000-0A0F-4CAC-BCC4-D52C741B2A06}"/>
            </c:ext>
          </c:extLst>
        </c:ser>
        <c:dLbls>
          <c:showLegendKey val="0"/>
          <c:showVal val="0"/>
          <c:showCatName val="0"/>
          <c:showSerName val="0"/>
          <c:showPercent val="0"/>
          <c:showBubbleSize val="0"/>
        </c:dLbls>
        <c:gapWidth val="25"/>
        <c:axId val="852460920"/>
        <c:axId val="852459608"/>
      </c:barChart>
      <c:catAx>
        <c:axId val="8524609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Company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52459608"/>
        <c:crosses val="autoZero"/>
        <c:auto val="1"/>
        <c:lblAlgn val="ctr"/>
        <c:lblOffset val="100"/>
        <c:noMultiLvlLbl val="0"/>
      </c:catAx>
      <c:valAx>
        <c:axId val="852459608"/>
        <c:scaling>
          <c:orientation val="minMax"/>
          <c:min val="0"/>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Risk Rating</a:t>
                </a:r>
                <a:r>
                  <a:rPr lang="en-CA" baseline="0"/>
                  <a:t> [Source: Fraser]</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460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Reserve (Moz)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'DS Tables'!$G$192</c:f>
              <c:strCache>
                <c:ptCount val="1"/>
                <c:pt idx="0">
                  <c:v>Reserve (Moz)</c:v>
                </c:pt>
              </c:strCache>
            </c:strRef>
          </c:tx>
          <c:spPr>
            <a:solidFill>
              <a:schemeClr val="accent1"/>
            </a:solidFill>
            <a:ln>
              <a:noFill/>
            </a:ln>
            <a:effectLst/>
          </c:spPr>
          <c:invertIfNegative val="0"/>
          <c:cat>
            <c:strRef>
              <c:f>'DS Tables'!$E$193:$E$221</c:f>
              <c:strCache>
                <c:ptCount val="29"/>
                <c:pt idx="0">
                  <c:v>Newmont Corporation (XTSE:NGT)</c:v>
                </c:pt>
                <c:pt idx="1">
                  <c:v>Kirkland Lake Gold Ltd (XTSE:KL)</c:v>
                </c:pt>
                <c:pt idx="2">
                  <c:v>Agnico Eagle Mines Ltd (XTSE:AEM)</c:v>
                </c:pt>
                <c:pt idx="3">
                  <c:v>Barrick Gold Corp (XTSE:ABX)</c:v>
                </c:pt>
                <c:pt idx="4">
                  <c:v>Franco-Nevada Corp (XTSE:FNV)</c:v>
                </c:pt>
                <c:pt idx="5">
                  <c:v>Centerra Gold Inc (XTSE:CG)</c:v>
                </c:pt>
                <c:pt idx="6">
                  <c:v>AngloGold Ashanti Ltd (XNYS:AU)</c:v>
                </c:pt>
                <c:pt idx="7">
                  <c:v>Kinross Gold Corp (XTSE:K)</c:v>
                </c:pt>
                <c:pt idx="8">
                  <c:v>B2Gold Corp (XTSE:BTO)</c:v>
                </c:pt>
                <c:pt idx="9">
                  <c:v>Yamana Gold Inc (XTSE:YRI)</c:v>
                </c:pt>
                <c:pt idx="10">
                  <c:v>Pretium Resources Inc (XTSE:PVG)</c:v>
                </c:pt>
                <c:pt idx="11">
                  <c:v>Alamos Gold Inc (XNYS:AGI)</c:v>
                </c:pt>
                <c:pt idx="12">
                  <c:v>Centamin PLC (XTSE:CEE)</c:v>
                </c:pt>
                <c:pt idx="13">
                  <c:v>Eldorado Gold Corp (XTSE:ELD)</c:v>
                </c:pt>
                <c:pt idx="14">
                  <c:v>Iamgold Corp (XTSE:IMG)</c:v>
                </c:pt>
                <c:pt idx="15">
                  <c:v>Lundin Gold Inc (XTSE:LUG)</c:v>
                </c:pt>
                <c:pt idx="16">
                  <c:v>SSR Mining Inc (XTSE:SSRM)</c:v>
                </c:pt>
                <c:pt idx="17">
                  <c:v>Semafo Inc (XTSE:SMF)</c:v>
                </c:pt>
                <c:pt idx="18">
                  <c:v>Torex Gold Resources Inc (XTSE:TXG)</c:v>
                </c:pt>
                <c:pt idx="19">
                  <c:v>Dundee Precious Metals Inc (XTSE:DPM)</c:v>
                </c:pt>
                <c:pt idx="20">
                  <c:v>Equinox Gold Corp (XTSE:EQX)</c:v>
                </c:pt>
                <c:pt idx="21">
                  <c:v>Harte Gold Corp (XTSE:HRT)</c:v>
                </c:pt>
                <c:pt idx="22">
                  <c:v>K92 Mining Inc (XTSX:KNT)</c:v>
                </c:pt>
                <c:pt idx="23">
                  <c:v>McEwen Mining Inc (XTSE:MUX)</c:v>
                </c:pt>
                <c:pt idx="24">
                  <c:v>New Gold Inc (XTSE:NGD)</c:v>
                </c:pt>
                <c:pt idx="25">
                  <c:v>Teranga Gold Corp (XTSE:TGZ)</c:v>
                </c:pt>
                <c:pt idx="26">
                  <c:v>TMAC Resources Inc (XTSE:TMR)</c:v>
                </c:pt>
                <c:pt idx="27">
                  <c:v>Victoria Gold Corp (XTSE:VGCX)</c:v>
                </c:pt>
                <c:pt idx="28">
                  <c:v>Wesdome Gold Mines Ltd (XTSE:WDO)</c:v>
                </c:pt>
              </c:strCache>
            </c:strRef>
          </c:cat>
          <c:val>
            <c:numRef>
              <c:f>'DS Tables'!$G$193:$G$221</c:f>
              <c:numCache>
                <c:formatCode>_-* #,##0_-;\-* #,##0_-;_-* "-"??_-;_-@_-</c:formatCode>
                <c:ptCount val="29"/>
                <c:pt idx="0">
                  <c:v>65.400000000000006</c:v>
                </c:pt>
                <c:pt idx="1">
                  <c:v>20.47</c:v>
                </c:pt>
                <c:pt idx="2">
                  <c:v>21.585000000000001</c:v>
                </c:pt>
                <c:pt idx="3">
                  <c:v>71</c:v>
                </c:pt>
                <c:pt idx="4">
                  <c:v>0</c:v>
                </c:pt>
                <c:pt idx="5">
                  <c:v>11.086</c:v>
                </c:pt>
                <c:pt idx="6">
                  <c:v>27</c:v>
                </c:pt>
                <c:pt idx="7">
                  <c:v>24.3</c:v>
                </c:pt>
                <c:pt idx="8">
                  <c:v>5.82</c:v>
                </c:pt>
                <c:pt idx="9">
                  <c:v>7.8</c:v>
                </c:pt>
                <c:pt idx="10">
                  <c:v>3.6</c:v>
                </c:pt>
                <c:pt idx="11">
                  <c:v>9.7260000000000009</c:v>
                </c:pt>
                <c:pt idx="12">
                  <c:v>7.25</c:v>
                </c:pt>
                <c:pt idx="13">
                  <c:v>16.359000000000002</c:v>
                </c:pt>
                <c:pt idx="14">
                  <c:v>16.706</c:v>
                </c:pt>
                <c:pt idx="15">
                  <c:v>4.8159999999999998</c:v>
                </c:pt>
                <c:pt idx="16">
                  <c:v>5.3760000000000003</c:v>
                </c:pt>
                <c:pt idx="17">
                  <c:v>25.341000000000001</c:v>
                </c:pt>
                <c:pt idx="18">
                  <c:v>2.2400000000000002</c:v>
                </c:pt>
                <c:pt idx="19">
                  <c:v>2.5819999999999999</c:v>
                </c:pt>
                <c:pt idx="20">
                  <c:v>12.7</c:v>
                </c:pt>
                <c:pt idx="21">
                  <c:v>0.89</c:v>
                </c:pt>
                <c:pt idx="22">
                  <c:v>2.4</c:v>
                </c:pt>
                <c:pt idx="23">
                  <c:v>0.74</c:v>
                </c:pt>
                <c:pt idx="24">
                  <c:v>11.811</c:v>
                </c:pt>
                <c:pt idx="25">
                  <c:v>2.19</c:v>
                </c:pt>
                <c:pt idx="26">
                  <c:v>5.2</c:v>
                </c:pt>
                <c:pt idx="27">
                  <c:v>4.4000000000000004</c:v>
                </c:pt>
                <c:pt idx="28">
                  <c:v>0.5605</c:v>
                </c:pt>
              </c:numCache>
            </c:numRef>
          </c:val>
          <c:extLst>
            <c:ext xmlns:c16="http://schemas.microsoft.com/office/drawing/2014/chart" uri="{C3380CC4-5D6E-409C-BE32-E72D297353CC}">
              <c16:uniqueId val="{00000000-124B-44F0-B216-ED26DC2153B9}"/>
            </c:ext>
          </c:extLst>
        </c:ser>
        <c:dLbls>
          <c:showLegendKey val="0"/>
          <c:showVal val="0"/>
          <c:showCatName val="0"/>
          <c:showSerName val="0"/>
          <c:showPercent val="0"/>
          <c:showBubbleSize val="0"/>
        </c:dLbls>
        <c:gapWidth val="25"/>
        <c:axId val="852460920"/>
        <c:axId val="852459608"/>
      </c:barChart>
      <c:catAx>
        <c:axId val="8524609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Compnay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52459608"/>
        <c:crosses val="autoZero"/>
        <c:auto val="1"/>
        <c:lblAlgn val="ctr"/>
        <c:lblOffset val="100"/>
        <c:noMultiLvlLbl val="0"/>
      </c:catAx>
      <c:valAx>
        <c:axId val="852459608"/>
        <c:scaling>
          <c:orientation val="minMax"/>
          <c:min val="0"/>
        </c:scaling>
        <c:delete val="0"/>
        <c:axPos val="b"/>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Mineral Reserve (Moz)</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460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[Jay Agwunobi Gold Producers.xlsm]Pivot!PivotTable3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Pivot!$B$11:$C$21</c:f>
              <c:multiLvlStrCache>
                <c:ptCount val="5"/>
                <c:lvl>
                  <c:pt idx="0">
                    <c:v>Large Cap Senior</c:v>
                  </c:pt>
                  <c:pt idx="1">
                    <c:v>Large Cap Senior</c:v>
                  </c:pt>
                  <c:pt idx="2">
                    <c:v>Large Cap Senior</c:v>
                  </c:pt>
                  <c:pt idx="3">
                    <c:v>Large Cap Senior</c:v>
                  </c:pt>
                  <c:pt idx="4">
                    <c:v>Large Cap Senior</c:v>
                  </c:pt>
                </c:lvl>
                <c:lvl>
                  <c:pt idx="0">
                    <c:v>Agnico Eagle Mines Ltd (XTSE:AEM)</c:v>
                  </c:pt>
                  <c:pt idx="1">
                    <c:v>Barrick Gold Corp (XTSE:ABX)</c:v>
                  </c:pt>
                  <c:pt idx="2">
                    <c:v>Franco-Nevada Corp (XTSE:FNV)</c:v>
                  </c:pt>
                  <c:pt idx="3">
                    <c:v>Kirkland Lake Gold Ltd (XTSE:KL)</c:v>
                  </c:pt>
                  <c:pt idx="4">
                    <c:v>Newmont Corporation (XTSE:NGT)</c:v>
                  </c:pt>
                </c:lvl>
              </c:multiLvlStrCache>
            </c:multiLvlStrRef>
          </c:cat>
          <c:val>
            <c:numRef>
              <c:f>Pivot!$D$11:$D$21</c:f>
              <c:numCache>
                <c:formatCode>General</c:formatCode>
                <c:ptCount val="5"/>
                <c:pt idx="0">
                  <c:v>1.5386597938144331</c:v>
                </c:pt>
                <c:pt idx="1">
                  <c:v>2.8985690235690234</c:v>
                </c:pt>
                <c:pt idx="2">
                  <c:v>5.2641509433962268</c:v>
                </c:pt>
                <c:pt idx="3">
                  <c:v>1.9064748201438848</c:v>
                </c:pt>
                <c:pt idx="4">
                  <c:v>2.629769392033543</c:v>
                </c:pt>
              </c:numCache>
            </c:numRef>
          </c:val>
          <c:extLst>
            <c:ext xmlns:c16="http://schemas.microsoft.com/office/drawing/2014/chart" uri="{C3380CC4-5D6E-409C-BE32-E72D297353CC}">
              <c16:uniqueId val="{00000000-67E6-4DA8-BF87-1FF7A9124A73}"/>
            </c:ext>
          </c:extLst>
        </c:ser>
        <c:dLbls>
          <c:showLegendKey val="0"/>
          <c:showVal val="1"/>
          <c:showCatName val="0"/>
          <c:showSerName val="0"/>
          <c:showPercent val="0"/>
          <c:showBubbleSize val="0"/>
        </c:dLbls>
        <c:gapWidth val="219"/>
        <c:overlap val="-27"/>
        <c:axId val="750701024"/>
        <c:axId val="750701352"/>
      </c:barChart>
      <c:catAx>
        <c:axId val="75070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701352"/>
        <c:crosses val="autoZero"/>
        <c:auto val="1"/>
        <c:lblAlgn val="ctr"/>
        <c:lblOffset val="100"/>
        <c:noMultiLvlLbl val="0"/>
      </c:catAx>
      <c:valAx>
        <c:axId val="750701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701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editAs="oneCell">
    <xdr:from>
      <xdr:col>2</xdr:col>
      <xdr:colOff>1827440</xdr:colOff>
      <xdr:row>0</xdr:row>
      <xdr:rowOff>152401</xdr:rowOff>
    </xdr:from>
    <xdr:to>
      <xdr:col>3</xdr:col>
      <xdr:colOff>551089</xdr:colOff>
      <xdr:row>3</xdr:row>
      <xdr:rowOff>49974</xdr:rowOff>
    </xdr:to>
    <xdr:pic macro="[0]!PullData">
      <xdr:nvPicPr>
        <xdr:cNvPr id="14" name="Graphic 13" descr="{&quot;Key&quot;:&quot;POWER_USER_SHAPE_ICON&quot;,&quot;Value&quot;:&quot;POWER_USER_SHAPE_ICON_STYLE_1&quot;}">
          <a:extLst>
            <a:ext uri="{FF2B5EF4-FFF2-40B4-BE49-F238E27FC236}">
              <a16:creationId xmlns:a16="http://schemas.microsoft.com/office/drawing/2014/main" id="{97B0FFEC-E8BD-4F45-9543-6128023ABFE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84047" y="152401"/>
          <a:ext cx="819149" cy="904502"/>
        </a:xfrm>
        <a:prstGeom prst="rect">
          <a:avLst/>
        </a:prstGeom>
      </xdr:spPr>
    </xdr:pic>
    <xdr:clientData/>
  </xdr:twoCellAnchor>
  <xdr:twoCellAnchor>
    <xdr:from>
      <xdr:col>3</xdr:col>
      <xdr:colOff>721178</xdr:colOff>
      <xdr:row>1</xdr:row>
      <xdr:rowOff>367392</xdr:rowOff>
    </xdr:from>
    <xdr:to>
      <xdr:col>12</xdr:col>
      <xdr:colOff>217714</xdr:colOff>
      <xdr:row>33</xdr:row>
      <xdr:rowOff>27214</xdr:rowOff>
    </xdr:to>
    <xdr:sp macro="" textlink="">
      <xdr:nvSpPr>
        <xdr:cNvPr id="15" name="TextBox 14">
          <a:extLst>
            <a:ext uri="{FF2B5EF4-FFF2-40B4-BE49-F238E27FC236}">
              <a16:creationId xmlns:a16="http://schemas.microsoft.com/office/drawing/2014/main" id="{1E29C508-81F8-461C-906A-1D495EBFAF53}"/>
            </a:ext>
          </a:extLst>
        </xdr:cNvPr>
        <xdr:cNvSpPr txBox="1"/>
      </xdr:nvSpPr>
      <xdr:spPr>
        <a:xfrm>
          <a:off x="3973285" y="557892"/>
          <a:ext cx="5592536" cy="6191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i="1">
              <a:solidFill>
                <a:schemeClr val="dk1"/>
              </a:solidFill>
              <a:effectLst/>
              <a:latin typeface="+mn-lt"/>
              <a:ea typeface="+mn-ea"/>
              <a:cs typeface="+mn-cs"/>
            </a:rPr>
            <a:t>Section 1: Balance Sheet Metrics</a:t>
          </a:r>
        </a:p>
        <a:p>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There are four categories based on Kitco’s 2019 Metals &amp; Mining Analysts’ Ratings &amp; Estimates report. Large Capital Senior Gold Producers, Medium Capital Senior Gold Producers, Small Capital Junior Gold Producers, Small Junior Gold Producers. There is a filter on each dashboard regarding the categories. Please select a maximum of two categories for viewing purposes.</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A company with a healthy balance sheet indicated solid liquidity and solvency. Liquidity is the availability of liquid assets and cash; solvency is the ability to pay off debts.</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Liquidity ratios such as current ratio and cash ratio were used, to measure how much available current assets or cash &amp; equivalents the firms hold in comparison to current liabilities due within a calendar year (12 months). Current Ratios less than 1 indicate liquidity problems the firm may face soon. Cash ratios greater than 1 means the firm can quickly pay off its short-term debts with its cash and cash equivalents. Therefore, firms with liquidity ratios greater than the category average is considered good.</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Solvency ratios such as Debt to Equity can showcase how the capital structure of a firm is leveraged toward debt or equity financing. In some cases, a high debt to equity ratio benefits the return on equity, as a firm can acquire more debt while the equity account remained smaller. However, a high debt to equity ratio may indicate a high risk, as the firm is more likely to finance projects with debt. If debts outweigh the income generated, then it poses a risk to the shareholder value. Similarly, Debt to Assets is used to determine the risk of a company. A ratio greater than 1 means the company is highly leveraged and owes more in debts than the value of its assets. A ratio of less than 1 means the company can meet its debt obligation with the sale of assets. Therefore, firms with solvency ratios less than the category average are considered good.</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The drop-down bar allows you to select the ratio; you wish to review. Selecting a category filter will prompt the calculation of the industry average. All companies that meet the criteria for the selected ratio will be displayed. However, the graphs are interactively connected with the filter and will only display companies within the selected category.</a:t>
          </a:r>
          <a:endParaRPr lang="en-CA" sz="1100"/>
        </a:p>
      </xdr:txBody>
    </xdr:sp>
    <xdr:clientData/>
  </xdr:twoCellAnchor>
  <xdr:twoCellAnchor>
    <xdr:from>
      <xdr:col>12</xdr:col>
      <xdr:colOff>323849</xdr:colOff>
      <xdr:row>1</xdr:row>
      <xdr:rowOff>361950</xdr:rowOff>
    </xdr:from>
    <xdr:to>
      <xdr:col>25</xdr:col>
      <xdr:colOff>238125</xdr:colOff>
      <xdr:row>33</xdr:row>
      <xdr:rowOff>21772</xdr:rowOff>
    </xdr:to>
    <xdr:sp macro="" textlink="">
      <xdr:nvSpPr>
        <xdr:cNvPr id="17" name="TextBox 16">
          <a:extLst>
            <a:ext uri="{FF2B5EF4-FFF2-40B4-BE49-F238E27FC236}">
              <a16:creationId xmlns:a16="http://schemas.microsoft.com/office/drawing/2014/main" id="{71E7C4E7-EDA5-4FEE-A41F-00B04ECBB1F2}"/>
            </a:ext>
          </a:extLst>
        </xdr:cNvPr>
        <xdr:cNvSpPr txBox="1"/>
      </xdr:nvSpPr>
      <xdr:spPr>
        <a:xfrm>
          <a:off x="9648824" y="552450"/>
          <a:ext cx="7839076" cy="61844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n-CA" sz="1100" b="1" i="1">
              <a:solidFill>
                <a:schemeClr val="dk1"/>
              </a:solidFill>
              <a:effectLst/>
              <a:latin typeface="+mn-lt"/>
              <a:ea typeface="+mn-ea"/>
              <a:cs typeface="+mn-cs"/>
            </a:rPr>
            <a:t>Section 2: Estimated Operating Cashflow</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Researched was collected from each firm’s presentations and annual reports for their 2020 production and AISC (all-in sustaining cost) guidance.  Applying 90% of the live gold spot price, estimated cash flow from operations was calculated.</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Use the filter to select a maximum of two categories. </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Hover over each bar for more detail. The “2020 AISC Guidance” data in pink is the total average for all 29 companies. Ideally, the lower the AISC, the higher the profit margin resulting in higher operating Cashflow based on the production guidance. </a:t>
          </a:r>
        </a:p>
        <a:p>
          <a:pPr algn="just"/>
          <a:endParaRPr lang="en-CA" sz="1100">
            <a:solidFill>
              <a:schemeClr val="dk1"/>
            </a:solidFill>
            <a:effectLst/>
            <a:latin typeface="+mn-lt"/>
            <a:ea typeface="+mn-ea"/>
            <a:cs typeface="+mn-cs"/>
          </a:endParaRPr>
        </a:p>
        <a:p>
          <a:pPr algn="just"/>
          <a:r>
            <a:rPr lang="en-CA" sz="1100" b="1" i="1">
              <a:solidFill>
                <a:schemeClr val="dk1"/>
              </a:solidFill>
              <a:effectLst/>
              <a:latin typeface="+mn-lt"/>
              <a:ea typeface="+mn-ea"/>
              <a:cs typeface="+mn-cs"/>
            </a:rPr>
            <a:t>Section 3: Profitability</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The P/E ratio was collected from Morningstar based on each firm’s 2019 performance. Use the filter to select a maximum of two categories. The size of the bubble chart is based on the firm’s market capitalization. It is essential to reduce the number of firms with the selection of two maximize categories for better visualization. A high P/E possibly indicates a firm is over-values. P/E ratios are subjective and should be compared based on categories with similar market capitalization. A P/E ratio is a multiple; for example, a P/E of 5x means an investor is willing to pay $5 for $1 of the current earnings. </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P/CFPS is based on the calculated operating cash flow. The share price is divided by the [Cashflow from operations multiplied by the shares outstanding]. Similar to the P/E ratio, the P/CFPS is subjective and should be compared in respective categories. It can be used to justify an undervalued firm in comparison to their market cap.</a:t>
          </a:r>
        </a:p>
        <a:p>
          <a:pPr algn="just"/>
          <a:endParaRPr lang="en-CA" sz="1100">
            <a:solidFill>
              <a:schemeClr val="dk1"/>
            </a:solidFill>
            <a:effectLst/>
            <a:latin typeface="+mn-lt"/>
            <a:ea typeface="+mn-ea"/>
            <a:cs typeface="+mn-cs"/>
          </a:endParaRPr>
        </a:p>
        <a:p>
          <a:pPr algn="just"/>
          <a:r>
            <a:rPr lang="en-CA" sz="1100" b="1" i="1">
              <a:solidFill>
                <a:schemeClr val="dk1"/>
              </a:solidFill>
              <a:effectLst/>
              <a:latin typeface="+mn-lt"/>
              <a:ea typeface="+mn-ea"/>
              <a:cs typeface="+mn-cs"/>
            </a:rPr>
            <a:t>Section 4: Reserves and</a:t>
          </a:r>
          <a:r>
            <a:rPr lang="en-CA" sz="1100" i="1">
              <a:solidFill>
                <a:schemeClr val="dk1"/>
              </a:solidFill>
              <a:effectLst/>
              <a:latin typeface="+mn-lt"/>
              <a:ea typeface="+mn-ea"/>
              <a:cs typeface="+mn-cs"/>
            </a:rPr>
            <a:t> Risk</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Researched was collected from each firm’s presentations and resource and reserve pages on their websites. Reserve quantity indicated longevity of Cashflow, resources where ignored because it may be inferred. Only probable and proven reserves are mineable; therefore, only reserves were accounted for. </a:t>
          </a:r>
        </a:p>
        <a:p>
          <a:pPr algn="just"/>
          <a:endParaRPr lang="en-CA" sz="1100">
            <a:solidFill>
              <a:schemeClr val="dk1"/>
            </a:solidFill>
            <a:effectLst/>
            <a:latin typeface="+mn-lt"/>
            <a:ea typeface="+mn-ea"/>
            <a:cs typeface="+mn-cs"/>
          </a:endParaRPr>
        </a:p>
        <a:p>
          <a:pPr algn="just"/>
          <a:r>
            <a:rPr lang="en-CA" sz="1100">
              <a:solidFill>
                <a:schemeClr val="dk1"/>
              </a:solidFill>
              <a:effectLst/>
              <a:latin typeface="+mn-lt"/>
              <a:ea typeface="+mn-ea"/>
              <a:cs typeface="+mn-cs"/>
            </a:rPr>
            <a:t>The risk rating was complied using the Fraser Institute rating system; certain regions without ratings were estimated. Risk Ratings reflect geopolitical, taxation, regulatory factors that may affect mining investments. Single asset producers with projects in low-risk regions would be less favorable to investments. </a:t>
          </a:r>
        </a:p>
        <a:p>
          <a:endParaRPr lang="en-CA"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0</xdr:colOff>
      <xdr:row>2</xdr:row>
      <xdr:rowOff>251012</xdr:rowOff>
    </xdr:from>
    <xdr:to>
      <xdr:col>5</xdr:col>
      <xdr:colOff>609599</xdr:colOff>
      <xdr:row>10</xdr:row>
      <xdr:rowOff>133350</xdr:rowOff>
    </xdr:to>
    <mc:AlternateContent xmlns:mc="http://schemas.openxmlformats.org/markup-compatibility/2006" xmlns:sle15="http://schemas.microsoft.com/office/drawing/2012/slicer">
      <mc:Choice Requires="sle15">
        <xdr:graphicFrame macro="">
          <xdr:nvGraphicFramePr>
            <xdr:cNvPr id="23" name="Category 2">
              <a:extLst>
                <a:ext uri="{FF2B5EF4-FFF2-40B4-BE49-F238E27FC236}">
                  <a16:creationId xmlns:a16="http://schemas.microsoft.com/office/drawing/2014/main" id="{BE86BF46-2BBA-4986-9133-F128FC5D4329}"/>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3171825" y="632012"/>
              <a:ext cx="1828799" cy="1501588"/>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203999</xdr:colOff>
      <xdr:row>1</xdr:row>
      <xdr:rowOff>0</xdr:rowOff>
    </xdr:from>
    <xdr:to>
      <xdr:col>26</xdr:col>
      <xdr:colOff>407999</xdr:colOff>
      <xdr:row>18</xdr:row>
      <xdr:rowOff>50250</xdr:rowOff>
    </xdr:to>
    <xdr:graphicFrame macro="">
      <xdr:nvGraphicFramePr>
        <xdr:cNvPr id="26" name="Chart 25">
          <a:extLst>
            <a:ext uri="{FF2B5EF4-FFF2-40B4-BE49-F238E27FC236}">
              <a16:creationId xmlns:a16="http://schemas.microsoft.com/office/drawing/2014/main" id="{24FFC12E-7910-4DC6-B961-562663F205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609599</xdr:colOff>
      <xdr:row>1</xdr:row>
      <xdr:rowOff>0</xdr:rowOff>
    </xdr:from>
    <xdr:to>
      <xdr:col>16</xdr:col>
      <xdr:colOff>203999</xdr:colOff>
      <xdr:row>18</xdr:row>
      <xdr:rowOff>50250</xdr:rowOff>
    </xdr:to>
    <xdr:graphicFrame macro="">
      <xdr:nvGraphicFramePr>
        <xdr:cNvPr id="25" name="Chart 24">
          <a:extLst>
            <a:ext uri="{FF2B5EF4-FFF2-40B4-BE49-F238E27FC236}">
              <a16:creationId xmlns:a16="http://schemas.microsoft.com/office/drawing/2014/main" id="{51A4C5E7-E308-4A96-BB15-96A89053B8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18</xdr:row>
      <xdr:rowOff>50250</xdr:rowOff>
    </xdr:from>
    <xdr:to>
      <xdr:col>16</xdr:col>
      <xdr:colOff>204000</xdr:colOff>
      <xdr:row>36</xdr:row>
      <xdr:rowOff>5250</xdr:rowOff>
    </xdr:to>
    <xdr:graphicFrame macro="">
      <xdr:nvGraphicFramePr>
        <xdr:cNvPr id="28" name="Chart 27">
          <a:extLst>
            <a:ext uri="{FF2B5EF4-FFF2-40B4-BE49-F238E27FC236}">
              <a16:creationId xmlns:a16="http://schemas.microsoft.com/office/drawing/2014/main" id="{00A8E0EC-85FC-4B04-B561-7ABD330AEE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16</xdr:col>
      <xdr:colOff>203999</xdr:colOff>
      <xdr:row>18</xdr:row>
      <xdr:rowOff>50250</xdr:rowOff>
    </xdr:from>
    <xdr:to>
      <xdr:col>26</xdr:col>
      <xdr:colOff>407999</xdr:colOff>
      <xdr:row>36</xdr:row>
      <xdr:rowOff>5250</xdr:rowOff>
    </xdr:to>
    <xdr:graphicFrame macro="">
      <xdr:nvGraphicFramePr>
        <xdr:cNvPr id="29" name="Chart 28">
          <a:extLst>
            <a:ext uri="{FF2B5EF4-FFF2-40B4-BE49-F238E27FC236}">
              <a16:creationId xmlns:a16="http://schemas.microsoft.com/office/drawing/2014/main" id="{A4A13B00-444C-493D-803F-097E3D1CCA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552450</xdr:colOff>
      <xdr:row>1</xdr:row>
      <xdr:rowOff>9524</xdr:rowOff>
    </xdr:from>
    <xdr:to>
      <xdr:col>6</xdr:col>
      <xdr:colOff>38100</xdr:colOff>
      <xdr:row>5</xdr:row>
      <xdr:rowOff>190499</xdr:rowOff>
    </xdr:to>
    <mc:AlternateContent xmlns:mc="http://schemas.openxmlformats.org/markup-compatibility/2006" xmlns:sle15="http://schemas.microsoft.com/office/drawing/2012/slicer">
      <mc:Choice Requires="sle15">
        <xdr:graphicFrame macro="">
          <xdr:nvGraphicFramePr>
            <xdr:cNvPr id="8" name="Category 5">
              <a:extLst>
                <a:ext uri="{FF2B5EF4-FFF2-40B4-BE49-F238E27FC236}">
                  <a16:creationId xmlns:a16="http://schemas.microsoft.com/office/drawing/2014/main" id="{E9DF0C0F-D3FC-418B-B9A9-946B0D697A65}"/>
                </a:ext>
              </a:extLst>
            </xdr:cNvPr>
            <xdr:cNvGraphicFramePr/>
          </xdr:nvGraphicFramePr>
          <xdr:xfrm>
            <a:off x="0" y="0"/>
            <a:ext cx="0" cy="0"/>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3600450" y="200024"/>
              <a:ext cx="1828800" cy="94297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1</xdr:colOff>
      <xdr:row>1</xdr:row>
      <xdr:rowOff>0</xdr:rowOff>
    </xdr:from>
    <xdr:to>
      <xdr:col>17</xdr:col>
      <xdr:colOff>1</xdr:colOff>
      <xdr:row>18</xdr:row>
      <xdr:rowOff>71400</xdr:rowOff>
    </xdr:to>
    <xdr:graphicFrame macro="">
      <xdr:nvGraphicFramePr>
        <xdr:cNvPr id="9" name="Chart 8">
          <a:extLst>
            <a:ext uri="{FF2B5EF4-FFF2-40B4-BE49-F238E27FC236}">
              <a16:creationId xmlns:a16="http://schemas.microsoft.com/office/drawing/2014/main" id="{06D7B800-A8C6-4EA3-8776-15C51FA62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1</xdr:colOff>
      <xdr:row>1</xdr:row>
      <xdr:rowOff>0</xdr:rowOff>
    </xdr:from>
    <xdr:to>
      <xdr:col>26</xdr:col>
      <xdr:colOff>304801</xdr:colOff>
      <xdr:row>36</xdr:row>
      <xdr:rowOff>0</xdr:rowOff>
    </xdr:to>
    <xdr:graphicFrame macro="">
      <xdr:nvGraphicFramePr>
        <xdr:cNvPr id="10" name="Chart 9">
          <a:extLst>
            <a:ext uri="{FF2B5EF4-FFF2-40B4-BE49-F238E27FC236}">
              <a16:creationId xmlns:a16="http://schemas.microsoft.com/office/drawing/2014/main" id="{8FEB104C-F4B4-45EB-BE47-3733992DDC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18</xdr:row>
      <xdr:rowOff>81000</xdr:rowOff>
    </xdr:from>
    <xdr:to>
      <xdr:col>17</xdr:col>
      <xdr:colOff>0</xdr:colOff>
      <xdr:row>36</xdr:row>
      <xdr:rowOff>0</xdr:rowOff>
    </xdr:to>
    <xdr:graphicFrame macro="">
      <xdr:nvGraphicFramePr>
        <xdr:cNvPr id="11" name="Chart 10">
          <a:extLst>
            <a:ext uri="{FF2B5EF4-FFF2-40B4-BE49-F238E27FC236}">
              <a16:creationId xmlns:a16="http://schemas.microsoft.com/office/drawing/2014/main" id="{D2ED49C0-AF63-4945-91FF-5087864BA1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526073</xdr:colOff>
      <xdr:row>1</xdr:row>
      <xdr:rowOff>9524</xdr:rowOff>
    </xdr:from>
    <xdr:to>
      <xdr:col>6</xdr:col>
      <xdr:colOff>11723</xdr:colOff>
      <xdr:row>5</xdr:row>
      <xdr:rowOff>190499</xdr:rowOff>
    </xdr:to>
    <mc:AlternateContent xmlns:mc="http://schemas.openxmlformats.org/markup-compatibility/2006" xmlns:sle15="http://schemas.microsoft.com/office/drawing/2012/slicer">
      <mc:Choice Requires="sle15">
        <xdr:graphicFrame macro="">
          <xdr:nvGraphicFramePr>
            <xdr:cNvPr id="2" name="Category 6">
              <a:extLst>
                <a:ext uri="{FF2B5EF4-FFF2-40B4-BE49-F238E27FC236}">
                  <a16:creationId xmlns:a16="http://schemas.microsoft.com/office/drawing/2014/main" id="{BEF2189F-9BF3-472E-BAC0-79DE72F31076}"/>
                </a:ext>
              </a:extLst>
            </xdr:cNvPr>
            <xdr:cNvGraphicFramePr/>
          </xdr:nvGraphicFramePr>
          <xdr:xfrm>
            <a:off x="0" y="0"/>
            <a:ext cx="0" cy="0"/>
          </xdr:xfrm>
          <a:graphic>
            <a:graphicData uri="http://schemas.microsoft.com/office/drawing/2010/slicer">
              <sle:slicer xmlns:sle="http://schemas.microsoft.com/office/drawing/2010/slicer" name="Category 6"/>
            </a:graphicData>
          </a:graphic>
        </xdr:graphicFrame>
      </mc:Choice>
      <mc:Fallback xmlns="">
        <xdr:sp macro="" textlink="">
          <xdr:nvSpPr>
            <xdr:cNvPr id="0" name=""/>
            <xdr:cNvSpPr>
              <a:spLocks noTextEdit="1"/>
            </xdr:cNvSpPr>
          </xdr:nvSpPr>
          <xdr:spPr>
            <a:xfrm>
              <a:off x="3574073" y="200024"/>
              <a:ext cx="1828800" cy="94297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11721</xdr:colOff>
      <xdr:row>1</xdr:row>
      <xdr:rowOff>9524</xdr:rowOff>
    </xdr:from>
    <xdr:to>
      <xdr:col>26</xdr:col>
      <xdr:colOff>21621</xdr:colOff>
      <xdr:row>18</xdr:row>
      <xdr:rowOff>80924</xdr:rowOff>
    </xdr:to>
    <xdr:graphicFrame macro="">
      <xdr:nvGraphicFramePr>
        <xdr:cNvPr id="6" name="Chart 5">
          <a:extLst>
            <a:ext uri="{FF2B5EF4-FFF2-40B4-BE49-F238E27FC236}">
              <a16:creationId xmlns:a16="http://schemas.microsoft.com/office/drawing/2014/main" id="{8F1F3A30-9DB4-4268-A99D-36F6CF2D7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11723</xdr:colOff>
      <xdr:row>18</xdr:row>
      <xdr:rowOff>81000</xdr:rowOff>
    </xdr:from>
    <xdr:to>
      <xdr:col>26</xdr:col>
      <xdr:colOff>21623</xdr:colOff>
      <xdr:row>36</xdr:row>
      <xdr:rowOff>0</xdr:rowOff>
    </xdr:to>
    <xdr:graphicFrame macro="">
      <xdr:nvGraphicFramePr>
        <xdr:cNvPr id="7" name="Chart 6">
          <a:extLst>
            <a:ext uri="{FF2B5EF4-FFF2-40B4-BE49-F238E27FC236}">
              <a16:creationId xmlns:a16="http://schemas.microsoft.com/office/drawing/2014/main" id="{CF3877ED-5C98-4176-9243-D5EDAED871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526073</xdr:colOff>
      <xdr:row>1</xdr:row>
      <xdr:rowOff>9524</xdr:rowOff>
    </xdr:from>
    <xdr:to>
      <xdr:col>6</xdr:col>
      <xdr:colOff>11723</xdr:colOff>
      <xdr:row>5</xdr:row>
      <xdr:rowOff>190499</xdr:rowOff>
    </xdr:to>
    <mc:AlternateContent xmlns:mc="http://schemas.openxmlformats.org/markup-compatibility/2006" xmlns:sle15="http://schemas.microsoft.com/office/drawing/2012/slicer">
      <mc:Choice Requires="sle15">
        <xdr:graphicFrame macro="">
          <xdr:nvGraphicFramePr>
            <xdr:cNvPr id="2" name="Category 7">
              <a:extLst>
                <a:ext uri="{FF2B5EF4-FFF2-40B4-BE49-F238E27FC236}">
                  <a16:creationId xmlns:a16="http://schemas.microsoft.com/office/drawing/2014/main" id="{1AB76B64-1FE0-4969-A5AE-7B56A4EA2BA8}"/>
                </a:ext>
              </a:extLst>
            </xdr:cNvPr>
            <xdr:cNvGraphicFramePr/>
          </xdr:nvGraphicFramePr>
          <xdr:xfrm>
            <a:off x="0" y="0"/>
            <a:ext cx="0" cy="0"/>
          </xdr:xfrm>
          <a:graphic>
            <a:graphicData uri="http://schemas.microsoft.com/office/drawing/2010/slicer">
              <sle:slicer xmlns:sle="http://schemas.microsoft.com/office/drawing/2010/slicer" name="Category 7"/>
            </a:graphicData>
          </a:graphic>
        </xdr:graphicFrame>
      </mc:Choice>
      <mc:Fallback xmlns="">
        <xdr:sp macro="" textlink="">
          <xdr:nvSpPr>
            <xdr:cNvPr id="0" name=""/>
            <xdr:cNvSpPr>
              <a:spLocks noTextEdit="1"/>
            </xdr:cNvSpPr>
          </xdr:nvSpPr>
          <xdr:spPr>
            <a:xfrm>
              <a:off x="3574073" y="200024"/>
              <a:ext cx="1828800" cy="94297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11723</xdr:colOff>
      <xdr:row>1</xdr:row>
      <xdr:rowOff>9524</xdr:rowOff>
    </xdr:from>
    <xdr:to>
      <xdr:col>16</xdr:col>
      <xdr:colOff>0</xdr:colOff>
      <xdr:row>36</xdr:row>
      <xdr:rowOff>0</xdr:rowOff>
    </xdr:to>
    <xdr:graphicFrame macro="">
      <xdr:nvGraphicFramePr>
        <xdr:cNvPr id="5" name="Chart 4">
          <a:extLst>
            <a:ext uri="{FF2B5EF4-FFF2-40B4-BE49-F238E27FC236}">
              <a16:creationId xmlns:a16="http://schemas.microsoft.com/office/drawing/2014/main" id="{AE4E506F-E38D-485E-B702-E034E73A14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15</xdr:col>
      <xdr:colOff>609599</xdr:colOff>
      <xdr:row>1</xdr:row>
      <xdr:rowOff>9524</xdr:rowOff>
    </xdr:from>
    <xdr:to>
      <xdr:col>26</xdr:col>
      <xdr:colOff>23999</xdr:colOff>
      <xdr:row>36</xdr:row>
      <xdr:rowOff>0</xdr:rowOff>
    </xdr:to>
    <xdr:graphicFrame macro="">
      <xdr:nvGraphicFramePr>
        <xdr:cNvPr id="6" name="Chart 5">
          <a:extLst>
            <a:ext uri="{FF2B5EF4-FFF2-40B4-BE49-F238E27FC236}">
              <a16:creationId xmlns:a16="http://schemas.microsoft.com/office/drawing/2014/main" id="{7087F0F8-2791-46E0-92F8-0E06B62002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8</xdr:row>
      <xdr:rowOff>74438</xdr:rowOff>
    </xdr:from>
    <xdr:to>
      <xdr:col>29</xdr:col>
      <xdr:colOff>246529</xdr:colOff>
      <xdr:row>43</xdr:row>
      <xdr:rowOff>78441</xdr:rowOff>
    </xdr:to>
    <xdr:graphicFrame macro="">
      <xdr:nvGraphicFramePr>
        <xdr:cNvPr id="4" name="Chart 3">
          <a:extLst>
            <a:ext uri="{FF2B5EF4-FFF2-40B4-BE49-F238E27FC236}">
              <a16:creationId xmlns:a16="http://schemas.microsoft.com/office/drawing/2014/main" id="{DAC285C1-1F22-4E1E-B65F-F28289A25F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1</xdr:rowOff>
    </xdr:from>
    <xdr:to>
      <xdr:col>10</xdr:col>
      <xdr:colOff>515471</xdr:colOff>
      <xdr:row>7</xdr:row>
      <xdr:rowOff>179295</xdr:rowOff>
    </xdr:to>
    <mc:AlternateContent xmlns:mc="http://schemas.openxmlformats.org/markup-compatibility/2006" xmlns:sle15="http://schemas.microsoft.com/office/drawing/2012/slicer">
      <mc:Choice Requires="sle15">
        <xdr:graphicFrame macro="">
          <xdr:nvGraphicFramePr>
            <xdr:cNvPr id="5" name="Category">
              <a:extLst>
                <a:ext uri="{FF2B5EF4-FFF2-40B4-BE49-F238E27FC236}">
                  <a16:creationId xmlns:a16="http://schemas.microsoft.com/office/drawing/2014/main" id="{7406A3AA-85DB-41B4-9818-C3284A196BB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1"/>
              <a:ext cx="6566647" cy="1512794"/>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44</xdr:row>
      <xdr:rowOff>0</xdr:rowOff>
    </xdr:from>
    <xdr:to>
      <xdr:col>29</xdr:col>
      <xdr:colOff>246529</xdr:colOff>
      <xdr:row>79</xdr:row>
      <xdr:rowOff>4003</xdr:rowOff>
    </xdr:to>
    <xdr:graphicFrame macro="">
      <xdr:nvGraphicFramePr>
        <xdr:cNvPr id="6" name="Chart 5">
          <a:extLst>
            <a:ext uri="{FF2B5EF4-FFF2-40B4-BE49-F238E27FC236}">
              <a16:creationId xmlns:a16="http://schemas.microsoft.com/office/drawing/2014/main" id="{D93A14DC-7C67-40C6-A603-9A1B5814A4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79</xdr:row>
      <xdr:rowOff>78442</xdr:rowOff>
    </xdr:from>
    <xdr:to>
      <xdr:col>29</xdr:col>
      <xdr:colOff>246529</xdr:colOff>
      <xdr:row>114</xdr:row>
      <xdr:rowOff>82445</xdr:rowOff>
    </xdr:to>
    <xdr:graphicFrame macro="">
      <xdr:nvGraphicFramePr>
        <xdr:cNvPr id="7" name="Chart 6">
          <a:extLst>
            <a:ext uri="{FF2B5EF4-FFF2-40B4-BE49-F238E27FC236}">
              <a16:creationId xmlns:a16="http://schemas.microsoft.com/office/drawing/2014/main" id="{31420ECC-4345-417E-96D4-5646491992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114</xdr:row>
      <xdr:rowOff>145676</xdr:rowOff>
    </xdr:from>
    <xdr:to>
      <xdr:col>29</xdr:col>
      <xdr:colOff>246529</xdr:colOff>
      <xdr:row>149</xdr:row>
      <xdr:rowOff>149679</xdr:rowOff>
    </xdr:to>
    <xdr:graphicFrame macro="">
      <xdr:nvGraphicFramePr>
        <xdr:cNvPr id="8" name="Chart 7">
          <a:extLst>
            <a:ext uri="{FF2B5EF4-FFF2-40B4-BE49-F238E27FC236}">
              <a16:creationId xmlns:a16="http://schemas.microsoft.com/office/drawing/2014/main" id="{C7FA1BC8-8BAA-44D7-BE27-0B310E5347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285751</xdr:colOff>
      <xdr:row>0</xdr:row>
      <xdr:rowOff>19049</xdr:rowOff>
    </xdr:from>
    <xdr:to>
      <xdr:col>12</xdr:col>
      <xdr:colOff>309751</xdr:colOff>
      <xdr:row>36</xdr:row>
      <xdr:rowOff>1049</xdr:rowOff>
    </xdr:to>
    <xdr:graphicFrame macro="">
      <xdr:nvGraphicFramePr>
        <xdr:cNvPr id="2" name="Chart 1">
          <a:extLst>
            <a:ext uri="{FF2B5EF4-FFF2-40B4-BE49-F238E27FC236}">
              <a16:creationId xmlns:a16="http://schemas.microsoft.com/office/drawing/2014/main" id="{0D26DF28-9F99-4C8F-8C89-A9FC919055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304798</xdr:colOff>
      <xdr:row>0</xdr:row>
      <xdr:rowOff>9525</xdr:rowOff>
    </xdr:from>
    <xdr:to>
      <xdr:col>22</xdr:col>
      <xdr:colOff>328798</xdr:colOff>
      <xdr:row>35</xdr:row>
      <xdr:rowOff>182025</xdr:rowOff>
    </xdr:to>
    <xdr:graphicFrame macro="">
      <xdr:nvGraphicFramePr>
        <xdr:cNvPr id="5" name="Chart 4">
          <a:extLst>
            <a:ext uri="{FF2B5EF4-FFF2-40B4-BE49-F238E27FC236}">
              <a16:creationId xmlns:a16="http://schemas.microsoft.com/office/drawing/2014/main" id="{0CFD6BBE-232C-4972-BE83-A06FBD7E65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114300</xdr:colOff>
      <xdr:row>8</xdr:row>
      <xdr:rowOff>123825</xdr:rowOff>
    </xdr:from>
    <xdr:to>
      <xdr:col>2</xdr:col>
      <xdr:colOff>190500</xdr:colOff>
      <xdr:row>21</xdr:row>
      <xdr:rowOff>76200</xdr:rowOff>
    </xdr:to>
    <xdr:sp macro="" textlink="">
      <xdr:nvSpPr>
        <xdr:cNvPr id="8" name="TextBox 7">
          <a:extLst>
            <a:ext uri="{FF2B5EF4-FFF2-40B4-BE49-F238E27FC236}">
              <a16:creationId xmlns:a16="http://schemas.microsoft.com/office/drawing/2014/main" id="{76441ADA-7E1B-4517-BE98-B61D6D4B7D14}"/>
            </a:ext>
          </a:extLst>
        </xdr:cNvPr>
        <xdr:cNvSpPr txBox="1"/>
      </xdr:nvSpPr>
      <xdr:spPr>
        <a:xfrm>
          <a:off x="114300" y="1647825"/>
          <a:ext cx="1295400" cy="2428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AISC Graph below</a:t>
          </a:r>
        </a:p>
      </xdr:txBody>
    </xdr:sp>
    <xdr:clientData/>
  </xdr:twoCellAnchor>
  <xdr:twoCellAnchor>
    <xdr:from>
      <xdr:col>0</xdr:col>
      <xdr:colOff>0</xdr:colOff>
      <xdr:row>36</xdr:row>
      <xdr:rowOff>23533</xdr:rowOff>
    </xdr:from>
    <xdr:to>
      <xdr:col>22</xdr:col>
      <xdr:colOff>367393</xdr:colOff>
      <xdr:row>71</xdr:row>
      <xdr:rowOff>129669</xdr:rowOff>
    </xdr:to>
    <xdr:graphicFrame macro="">
      <xdr:nvGraphicFramePr>
        <xdr:cNvPr id="9" name="Chart 8">
          <a:extLst>
            <a:ext uri="{FF2B5EF4-FFF2-40B4-BE49-F238E27FC236}">
              <a16:creationId xmlns:a16="http://schemas.microsoft.com/office/drawing/2014/main" id="{31888A95-CC22-4A8B-A7EA-AEA1AA558A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114300</xdr:colOff>
      <xdr:row>0</xdr:row>
      <xdr:rowOff>75078</xdr:rowOff>
    </xdr:from>
    <xdr:to>
      <xdr:col>2</xdr:col>
      <xdr:colOff>190500</xdr:colOff>
      <xdr:row>8</xdr:row>
      <xdr:rowOff>84603</xdr:rowOff>
    </xdr:to>
    <mc:AlternateContent xmlns:mc="http://schemas.openxmlformats.org/markup-compatibility/2006" xmlns:sle15="http://schemas.microsoft.com/office/drawing/2012/slicer">
      <mc:Choice Requires="sle15">
        <xdr:graphicFrame macro="">
          <xdr:nvGraphicFramePr>
            <xdr:cNvPr id="11" name="Category 1">
              <a:extLst>
                <a:ext uri="{FF2B5EF4-FFF2-40B4-BE49-F238E27FC236}">
                  <a16:creationId xmlns:a16="http://schemas.microsoft.com/office/drawing/2014/main" id="{BC13AD5D-F05C-41C6-BCC0-7031C11F5477}"/>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4300" y="75078"/>
              <a:ext cx="1286435" cy="15335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0</xdr:col>
      <xdr:colOff>312964</xdr:colOff>
      <xdr:row>4</xdr:row>
      <xdr:rowOff>68036</xdr:rowOff>
    </xdr:from>
    <xdr:to>
      <xdr:col>34</xdr:col>
      <xdr:colOff>394606</xdr:colOff>
      <xdr:row>55</xdr:row>
      <xdr:rowOff>163286</xdr:rowOff>
    </xdr:to>
    <xdr:graphicFrame macro="">
      <xdr:nvGraphicFramePr>
        <xdr:cNvPr id="5" name="Chart 4">
          <a:extLst>
            <a:ext uri="{FF2B5EF4-FFF2-40B4-BE49-F238E27FC236}">
              <a16:creationId xmlns:a16="http://schemas.microsoft.com/office/drawing/2014/main" id="{970EAF6F-4BF3-416D-85BD-E6A975E08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89646</xdr:colOff>
      <xdr:row>0</xdr:row>
      <xdr:rowOff>44824</xdr:rowOff>
    </xdr:from>
    <xdr:to>
      <xdr:col>3</xdr:col>
      <xdr:colOff>89647</xdr:colOff>
      <xdr:row>7</xdr:row>
      <xdr:rowOff>153681</xdr:rowOff>
    </xdr:to>
    <mc:AlternateContent xmlns:mc="http://schemas.openxmlformats.org/markup-compatibility/2006" xmlns:sle15="http://schemas.microsoft.com/office/drawing/2012/slicer">
      <mc:Choice Requires="sle15">
        <xdr:graphicFrame macro="">
          <xdr:nvGraphicFramePr>
            <xdr:cNvPr id="4" name="Category 3">
              <a:extLst>
                <a:ext uri="{FF2B5EF4-FFF2-40B4-BE49-F238E27FC236}">
                  <a16:creationId xmlns:a16="http://schemas.microsoft.com/office/drawing/2014/main" id="{AEA129D4-BB36-427E-8718-07D1A227990E}"/>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89646" y="44824"/>
              <a:ext cx="1836965" cy="1442357"/>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326572</xdr:colOff>
      <xdr:row>56</xdr:row>
      <xdr:rowOff>27214</xdr:rowOff>
    </xdr:from>
    <xdr:to>
      <xdr:col>34</xdr:col>
      <xdr:colOff>408214</xdr:colOff>
      <xdr:row>107</xdr:row>
      <xdr:rowOff>122464</xdr:rowOff>
    </xdr:to>
    <xdr:graphicFrame macro="">
      <xdr:nvGraphicFramePr>
        <xdr:cNvPr id="6" name="Chart 5">
          <a:extLst>
            <a:ext uri="{FF2B5EF4-FFF2-40B4-BE49-F238E27FC236}">
              <a16:creationId xmlns:a16="http://schemas.microsoft.com/office/drawing/2014/main" id="{43327EA8-B378-47FE-B4E5-C1A87F1B29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336176</xdr:colOff>
      <xdr:row>0</xdr:row>
      <xdr:rowOff>67235</xdr:rowOff>
    </xdr:from>
    <xdr:to>
      <xdr:col>16</xdr:col>
      <xdr:colOff>78442</xdr:colOff>
      <xdr:row>3</xdr:row>
      <xdr:rowOff>168088</xdr:rowOff>
    </xdr:to>
    <xdr:sp macro="" textlink="">
      <xdr:nvSpPr>
        <xdr:cNvPr id="7" name="TextBox 6">
          <a:extLst>
            <a:ext uri="{FF2B5EF4-FFF2-40B4-BE49-F238E27FC236}">
              <a16:creationId xmlns:a16="http://schemas.microsoft.com/office/drawing/2014/main" id="{454003F0-C3D1-479A-907B-7E0979CADBF6}"/>
            </a:ext>
          </a:extLst>
        </xdr:cNvPr>
        <xdr:cNvSpPr txBox="1"/>
      </xdr:nvSpPr>
      <xdr:spPr>
        <a:xfrm>
          <a:off x="2151529" y="67235"/>
          <a:ext cx="7608795" cy="672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Hover over the bubbles for</a:t>
          </a:r>
          <a:r>
            <a:rPr lang="en-CA" sz="1100" baseline="0"/>
            <a:t> more information.</a:t>
          </a:r>
          <a:endParaRPr lang="en-CA" sz="1100"/>
        </a:p>
      </xdr:txBody>
    </xdr:sp>
    <xdr:clientData/>
  </xdr:twoCellAnchor>
  <xdr:twoCellAnchor>
    <xdr:from>
      <xdr:col>0</xdr:col>
      <xdr:colOff>340179</xdr:colOff>
      <xdr:row>107</xdr:row>
      <xdr:rowOff>163286</xdr:rowOff>
    </xdr:from>
    <xdr:to>
      <xdr:col>17</xdr:col>
      <xdr:colOff>370715</xdr:colOff>
      <xdr:row>139</xdr:row>
      <xdr:rowOff>187286</xdr:rowOff>
    </xdr:to>
    <xdr:graphicFrame macro="">
      <xdr:nvGraphicFramePr>
        <xdr:cNvPr id="8" name="Chart 7">
          <a:extLst>
            <a:ext uri="{FF2B5EF4-FFF2-40B4-BE49-F238E27FC236}">
              <a16:creationId xmlns:a16="http://schemas.microsoft.com/office/drawing/2014/main" id="{05AA27A4-DB3B-42B1-B97F-BF73909986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435429</xdr:colOff>
      <xdr:row>107</xdr:row>
      <xdr:rowOff>163285</xdr:rowOff>
    </xdr:from>
    <xdr:to>
      <xdr:col>34</xdr:col>
      <xdr:colOff>465964</xdr:colOff>
      <xdr:row>139</xdr:row>
      <xdr:rowOff>187285</xdr:rowOff>
    </xdr:to>
    <xdr:graphicFrame macro="">
      <xdr:nvGraphicFramePr>
        <xdr:cNvPr id="9" name="Chart 8">
          <a:extLst>
            <a:ext uri="{FF2B5EF4-FFF2-40B4-BE49-F238E27FC236}">
              <a16:creationId xmlns:a16="http://schemas.microsoft.com/office/drawing/2014/main" id="{2ED8FB4E-087E-411A-8A30-2E078A1BF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326572</xdr:colOff>
      <xdr:row>140</xdr:row>
      <xdr:rowOff>54429</xdr:rowOff>
    </xdr:from>
    <xdr:to>
      <xdr:col>17</xdr:col>
      <xdr:colOff>357108</xdr:colOff>
      <xdr:row>172</xdr:row>
      <xdr:rowOff>78429</xdr:rowOff>
    </xdr:to>
    <xdr:graphicFrame macro="">
      <xdr:nvGraphicFramePr>
        <xdr:cNvPr id="10" name="Chart 9">
          <a:extLst>
            <a:ext uri="{FF2B5EF4-FFF2-40B4-BE49-F238E27FC236}">
              <a16:creationId xmlns:a16="http://schemas.microsoft.com/office/drawing/2014/main" id="{71F8AD56-FC20-41D8-BDE2-E8BE1C9748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421822</xdr:colOff>
      <xdr:row>140</xdr:row>
      <xdr:rowOff>54429</xdr:rowOff>
    </xdr:from>
    <xdr:to>
      <xdr:col>34</xdr:col>
      <xdr:colOff>452357</xdr:colOff>
      <xdr:row>172</xdr:row>
      <xdr:rowOff>78429</xdr:rowOff>
    </xdr:to>
    <xdr:graphicFrame macro="">
      <xdr:nvGraphicFramePr>
        <xdr:cNvPr id="11" name="Chart 10">
          <a:extLst>
            <a:ext uri="{FF2B5EF4-FFF2-40B4-BE49-F238E27FC236}">
              <a16:creationId xmlns:a16="http://schemas.microsoft.com/office/drawing/2014/main" id="{75C8FC17-FAE4-4503-BCD4-53DB1BBF44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9524</xdr:colOff>
      <xdr:row>0</xdr:row>
      <xdr:rowOff>9524</xdr:rowOff>
    </xdr:from>
    <xdr:to>
      <xdr:col>2</xdr:col>
      <xdr:colOff>609599</xdr:colOff>
      <xdr:row>7</xdr:row>
      <xdr:rowOff>114299</xdr:rowOff>
    </xdr:to>
    <mc:AlternateContent xmlns:mc="http://schemas.openxmlformats.org/markup-compatibility/2006" xmlns:sle15="http://schemas.microsoft.com/office/drawing/2012/slicer">
      <mc:Choice Requires="sle15">
        <xdr:graphicFrame macro="">
          <xdr:nvGraphicFramePr>
            <xdr:cNvPr id="2" name="Category 4">
              <a:extLst>
                <a:ext uri="{FF2B5EF4-FFF2-40B4-BE49-F238E27FC236}">
                  <a16:creationId xmlns:a16="http://schemas.microsoft.com/office/drawing/2014/main" id="{A2658CA2-71ED-4A7E-BCCA-5E273CDEA61B}"/>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9524" y="9524"/>
              <a:ext cx="1819275" cy="143827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1</xdr:colOff>
      <xdr:row>0</xdr:row>
      <xdr:rowOff>28574</xdr:rowOff>
    </xdr:from>
    <xdr:to>
      <xdr:col>13</xdr:col>
      <xdr:colOff>342901</xdr:colOff>
      <xdr:row>36</xdr:row>
      <xdr:rowOff>38100</xdr:rowOff>
    </xdr:to>
    <xdr:graphicFrame macro="">
      <xdr:nvGraphicFramePr>
        <xdr:cNvPr id="3" name="Chart 2">
          <a:extLst>
            <a:ext uri="{FF2B5EF4-FFF2-40B4-BE49-F238E27FC236}">
              <a16:creationId xmlns:a16="http://schemas.microsoft.com/office/drawing/2014/main" id="{1AE8CCA8-7C2D-49CB-8505-07E8CF1E76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400049</xdr:colOff>
      <xdr:row>0</xdr:row>
      <xdr:rowOff>28574</xdr:rowOff>
    </xdr:from>
    <xdr:to>
      <xdr:col>24</xdr:col>
      <xdr:colOff>9524</xdr:colOff>
      <xdr:row>36</xdr:row>
      <xdr:rowOff>19049</xdr:rowOff>
    </xdr:to>
    <xdr:graphicFrame macro="">
      <xdr:nvGraphicFramePr>
        <xdr:cNvPr id="4" name="Chart 3">
          <a:extLst>
            <a:ext uri="{FF2B5EF4-FFF2-40B4-BE49-F238E27FC236}">
              <a16:creationId xmlns:a16="http://schemas.microsoft.com/office/drawing/2014/main" id="{C64B6C79-1032-4CBA-B4F5-1ECEDB0FC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733425</xdr:colOff>
      <xdr:row>9</xdr:row>
      <xdr:rowOff>19050</xdr:rowOff>
    </xdr:from>
    <xdr:to>
      <xdr:col>15</xdr:col>
      <xdr:colOff>504825</xdr:colOff>
      <xdr:row>33</xdr:row>
      <xdr:rowOff>133350</xdr:rowOff>
    </xdr:to>
    <xdr:graphicFrame macro="">
      <xdr:nvGraphicFramePr>
        <xdr:cNvPr id="2" name="Chart 1">
          <a:extLst>
            <a:ext uri="{FF2B5EF4-FFF2-40B4-BE49-F238E27FC236}">
              <a16:creationId xmlns:a16="http://schemas.microsoft.com/office/drawing/2014/main" id="{83FAAB57-B89C-4FB7-BF81-5D744BB403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ay jachimike" id="{047127C9-2624-40AE-9164-5865987FBFC5}" userId="f11c0a00c2d6660e"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 Agwunobi" refreshedDate="43936.151723148148" createdVersion="6" refreshedVersion="6" minRefreshableVersion="3" recordCount="29" xr:uid="{15BCCAC6-A10B-47FA-98FB-3178B601922D}">
  <cacheSource type="worksheet">
    <worksheetSource name="Table2"/>
  </cacheSource>
  <cacheFields count="39">
    <cacheField name="Company" numFmtId="0">
      <sharedItems count="29">
        <s v="Newmont Corporation (XTSE:NGT)"/>
        <s v="Kirkland Lake Gold Ltd (XTSE:KL)"/>
        <s v="Agnico Eagle Mines Ltd (XTSE:AEM)"/>
        <s v="Barrick Gold Corp (XTSE:ABX)"/>
        <s v="Franco-Nevada Corp (XTSE:FNV)"/>
        <s v="Centerra Gold Inc (XTSE:CG)"/>
        <s v="AngloGold Ashanti Ltd (XNYS:AU)"/>
        <s v="Kinross Gold Corp (XTSE:K)"/>
        <s v="B2Gold Corp (XTSE:BTO)"/>
        <s v="Yamana Gold Inc (XTSE:YRI)"/>
        <s v="Pretium Resources Inc (XTSE:PVG)"/>
        <s v="Alamos Gold Inc (XNYS:AGI)"/>
        <s v="Centamin PLC (XTSE:CEE)"/>
        <s v="Eldorado Gold Corp (XTSE:ELD)"/>
        <s v="Iamgold Corp (XTSE:IMG)"/>
        <s v="Lundin Gold Inc (XTSE:LUG)"/>
        <s v="SSR Mining Inc (XTSE:SSRM)"/>
        <s v="Semafo Inc (XTSE:SMF)"/>
        <s v="Torex Gold Resources Inc (XTSE:TXG)"/>
        <s v="Dundee Precious Metals Inc (XTSE:DPM)"/>
        <s v="Equinox Gold Corp (XTSE:EQX)"/>
        <s v="Harte Gold Corp (XTSE:HRT)"/>
        <s v="K92 Mining Inc (XTSX:KNT)"/>
        <s v="McEwen Mining Inc (XTSE:MUX)"/>
        <s v="New Gold Inc (XTSE:NGD)"/>
        <s v="Teranga Gold Corp (XTSE:TGZ)"/>
        <s v="TMAC Resources Inc (XTSE:TMR)"/>
        <s v="Victoria Gold Corp (XTSE:VGCX)"/>
        <s v="Wesdome Gold Mines Ltd (XTSE:WDO)"/>
      </sharedItems>
    </cacheField>
    <cacheField name="Category" numFmtId="0">
      <sharedItems count="4">
        <s v="Large Cap Senior"/>
        <s v="Mid Cap Senior"/>
        <s v="Small Cap Senior"/>
        <s v="Small Cap Junior"/>
      </sharedItems>
    </cacheField>
    <cacheField name="Price" numFmtId="2">
      <sharedItems containsSemiMixedTypes="0" containsString="0" containsNumber="1" minValue="0.115" maxValue="171.48"/>
    </cacheField>
    <cacheField name="Market Cap (MM)" numFmtId="169">
      <sharedItems containsSemiMixedTypes="0" containsString="0" containsNumber="1" minValue="97.313829999999996" maxValue="59864.49"/>
    </cacheField>
    <cacheField name="S/O" numFmtId="169">
      <sharedItems containsSemiMixedTypes="0" containsString="0" containsNumber="1" minValue="58964102.885821834" maxValue="1760720294.1176472"/>
    </cacheField>
    <cacheField name="Change" numFmtId="0">
      <sharedItems containsSemiMixedTypes="0" containsString="0" containsNumber="1" minValue="-1.45" maxValue="2.4900000000000002"/>
    </cacheField>
    <cacheField name="Change (%)" numFmtId="10">
      <sharedItems containsSemiMixedTypes="0" containsString="0" containsNumber="1" minValue="-4.7030000000000002E-2" maxValue="0.17272699999999999"/>
    </cacheField>
    <cacheField name="Volume" numFmtId="169">
      <sharedItems containsSemiMixedTypes="0" containsString="0" containsNumber="1" containsInteger="1" minValue="140550" maxValue="13219914"/>
    </cacheField>
    <cacheField name="52 week high" numFmtId="2">
      <sharedItems containsSemiMixedTypes="0" containsString="0" containsNumber="1" minValue="0.35" maxValue="171.48"/>
    </cacheField>
    <cacheField name="52 week low" numFmtId="2">
      <sharedItems containsSemiMixedTypes="0" containsString="0" containsNumber="1" minValue="7.4999999999999997E-2" maxValue="93.24"/>
    </cacheField>
    <cacheField name="Prod 2018E" numFmtId="169">
      <sharedItems containsSemiMixedTypes="0" containsString="0" containsNumber="1" containsInteger="1" minValue="0" maxValue="5101000"/>
    </cacheField>
    <cacheField name="Prod 2019E" numFmtId="169">
      <sharedItems containsSemiMixedTypes="0" containsString="0" containsNumber="1" containsInteger="1" minValue="0" maxValue="6004000"/>
    </cacheField>
    <cacheField name="2020E Guidance.Avg" numFmtId="169">
      <sharedItems containsSemiMixedTypes="0" containsString="0" containsNumber="1" containsInteger="1" minValue="45000" maxValue="6400000"/>
    </cacheField>
    <cacheField name="2020E Guidance Revised " numFmtId="169">
      <sharedItems containsSemiMixedTypes="0" containsString="0" containsNumber="1" containsInteger="1" minValue="45000" maxValue="6400000"/>
    </cacheField>
    <cacheField name="AISC 2018E" numFmtId="169">
      <sharedItems containsSemiMixedTypes="0" containsString="0" containsNumber="1" containsInteger="1" minValue="0" maxValue="1291"/>
    </cacheField>
    <cacheField name="AISC 2019E" numFmtId="169">
      <sharedItems containsSemiMixedTypes="0" containsString="0" containsNumber="1" containsInteger="1" minValue="0" maxValue="2300"/>
    </cacheField>
    <cacheField name="AISC 2020E Guidance" numFmtId="169">
      <sharedItems containsSemiMixedTypes="0" containsString="0" containsNumber="1" minValue="344.64016736401675" maxValue="1562.5"/>
    </cacheField>
    <cacheField name="2020 Margin" numFmtId="169">
      <sharedItems containsSemiMixedTypes="0" containsString="0" containsNumber="1" minValue="3.4100000000000819" maxValue="1221.2698326359832"/>
    </cacheField>
    <cacheField name="Margin %" numFmtId="9">
      <sharedItems containsSemiMixedTypes="0" containsString="0" containsNumber="1" minValue="2.1776475020914877E-3" maxValue="0.63172759892659636"/>
    </cacheField>
    <cacheField name="2020 Ops CF" numFmtId="0">
      <sharedItems containsSemiMixedTypes="0" containsString="0" containsNumber="1" minValue="153450.0000000037" maxValue="3781824000.0000005"/>
    </cacheField>
    <cacheField name="CFPS" numFmtId="0">
      <sharedItems containsSemiMixedTypes="0" containsString="0" containsNumber="1" minValue="6.4824832190244468" maxValue="59864.49"/>
    </cacheField>
    <cacheField name="Reserves (Moz) Gold" numFmtId="2">
      <sharedItems containsSemiMixedTypes="0" containsString="0" containsNumber="1" minValue="0" maxValue="71"/>
    </cacheField>
    <cacheField name="Copper &amp; GEO" numFmtId="1">
      <sharedItems containsSemiMixedTypes="0" containsString="0" containsNumber="1" containsInteger="1" minValue="0" maxValue="470000000"/>
    </cacheField>
    <cacheField name="2020 Ops CF-Copper" numFmtId="1">
      <sharedItems containsSemiMixedTypes="0" containsString="0" containsNumber="1" minValue="-78666250.000000134" maxValue="827274000.00000012"/>
    </cacheField>
    <cacheField name="Estimated 2020 OPSCF" numFmtId="169">
      <sharedItems containsSemiMixedTypes="0" containsString="0" containsNumber="1" minValue="153450.0000000037" maxValue="4609098000.000001"/>
    </cacheField>
    <cacheField name="2020 P/CFPS" numFmtId="43">
      <sharedItems containsSemiMixedTypes="0" containsString="0" containsNumber="1" minValue="2.3943572132326807" maxValue="634.17289019222972"/>
    </cacheField>
    <cacheField name="2019 P/E" numFmtId="169">
      <sharedItems containsSemiMixedTypes="0" containsString="0" containsNumber="1" minValue="-22.64516129032258" maxValue="398.85"/>
    </cacheField>
    <cacheField name="2019 EPS" numFmtId="43">
      <sharedItems containsSemiMixedTypes="0" containsString="0" containsNumber="1" minValue="-0.88" maxValue="3.82"/>
    </cacheField>
    <cacheField name="2020 P/E" numFmtId="169">
      <sharedItems containsSemiMixedTypes="0" containsString="0" containsNumber="1" minValue="-31.129032258064516" maxValue="93.704918032786878"/>
    </cacheField>
    <cacheField name="REV 3Yr Growth" numFmtId="9">
      <sharedItems containsSemiMixedTypes="0" containsString="0" containsNumber="1" minValue="-0.10555555555555553" maxValue="17.779800000000002"/>
    </cacheField>
    <cacheField name="ROA% TTM " numFmtId="9">
      <sharedItems containsSemiMixedTypes="0" containsString="0" containsNumber="1" minValue="-0.49459999999999998" maxValue="0.2681"/>
    </cacheField>
    <cacheField name="ROE % TTM " numFmtId="9">
      <sharedItems containsSemiMixedTypes="0" containsString="0" containsNumber="1" minValue="-88.6327" maxValue="0.36370000000000002"/>
    </cacheField>
    <cacheField name="Net Margin% TTM" numFmtId="9">
      <sharedItems containsSemiMixedTypes="0" containsString="0" containsNumber="1" minValue="-1.2377" maxValue="0.40849999999999997"/>
    </cacheField>
    <cacheField name="Current Ratio" numFmtId="43">
      <sharedItems containsSemiMixedTypes="0" containsString="0" containsNumber="1" minValue="0" maxValue="8.9361702127659566"/>
    </cacheField>
    <cacheField name="Cash Ratio" numFmtId="43">
      <sharedItems containsSemiMixedTypes="0" containsString="0" containsNumber="1" minValue="0" maxValue="6.0212765957446805"/>
    </cacheField>
    <cacheField name="Debt-Equity" numFmtId="43">
      <sharedItems containsMixedTypes="1" containsNumber="1" minValue="0" maxValue="2.0171306209850108"/>
    </cacheField>
    <cacheField name="Debt-Assest" numFmtId="43">
      <sharedItems containsSemiMixedTypes="0" containsString="0" containsNumber="1" minValue="0" maxValue="1.1463414634146341"/>
    </cacheField>
    <cacheField name="Risk Rating" numFmtId="43">
      <sharedItems containsSemiMixedTypes="0" containsString="0" containsNumber="1" minValue="45.354572834994777" maxValue="81"/>
    </cacheField>
    <cacheField name="Field1" numFmtId="0" formula="AVERAGE('Current Ratio')"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n v="82.76"/>
    <n v="48281.46"/>
    <n v="583391251.81246972"/>
    <n v="0.22"/>
    <n v="2.6650000000000003E-3"/>
    <n v="228051"/>
    <n v="84.2"/>
    <n v="40.01"/>
    <n v="5101000"/>
    <n v="6004000"/>
    <n v="6400000"/>
    <n v="6400000"/>
    <n v="909"/>
    <n v="966"/>
    <n v="975"/>
    <n v="590.91000000000008"/>
    <n v="0.3056606701534571"/>
    <n v="3781824000.0000005"/>
    <n v="6.4824832190244468"/>
    <n v="65.400000000000006"/>
    <n v="1400000"/>
    <n v="827274000.00000012"/>
    <n v="4609098000.000001"/>
    <n v="12.766712570442197"/>
    <n v="13.09"/>
    <n v="3.82"/>
    <n v="21.66492146596859"/>
    <n v="0.31978319783197839"/>
    <n v="9.4E-2"/>
    <n v="0.1757"/>
    <n v="0.28799999999999998"/>
    <n v="2.629769392033543"/>
    <n v="1.0398322851153039"/>
    <n v="0.86619981325863682"/>
    <n v="0.46415169860409267"/>
    <n v="76.067219167321298"/>
  </r>
  <r>
    <x v="1"/>
    <x v="0"/>
    <n v="51.74"/>
    <n v="15191.53"/>
    <n v="293612872.05257052"/>
    <n v="-1.45"/>
    <n v="-2.7261000000000001E-2"/>
    <n v="2067289"/>
    <n v="67.87"/>
    <n v="25.67"/>
    <n v="723700"/>
    <n v="974615"/>
    <n v="1505000"/>
    <n v="1470000"/>
    <n v="685"/>
    <n v="564"/>
    <n v="830"/>
    <n v="735.91000000000008"/>
    <n v="0.3806649807460199"/>
    <n v="1081787700.0000002"/>
    <n v="15191.53"/>
    <n v="20.47"/>
    <n v="0"/>
    <n v="0"/>
    <n v="1081787700.0000002"/>
    <n v="14.042986438096861"/>
    <n v="18.649999999999999"/>
    <n v="2.67"/>
    <n v="19.378277153558052"/>
    <n v="0.83999999999999986"/>
    <n v="0.26250000000000001"/>
    <n v="0.36370000000000002"/>
    <n v="0.40589999999999998"/>
    <n v="1.9064748201438848"/>
    <n v="1.6954436450839327"/>
    <n v="0.40781507980187121"/>
    <n v="0.28967943706020327"/>
    <n v="70.416270400711241"/>
  </r>
  <r>
    <x v="2"/>
    <x v="0"/>
    <n v="73.5"/>
    <n v="17240.53"/>
    <n v="234565034.01360545"/>
    <n v="1.66"/>
    <n v="2.3107000000000003E-2"/>
    <n v="1094146"/>
    <n v="86.39"/>
    <n v="43.25"/>
    <n v="1626669"/>
    <n v="1782147"/>
    <n v="2000000"/>
    <n v="1875000"/>
    <n v="877"/>
    <n v="938"/>
    <n v="1000"/>
    <n v="565.91000000000008"/>
    <n v="0.29272889246508427"/>
    <n v="1061081250.0000001"/>
    <n v="17240.53"/>
    <n v="21.585000000000001"/>
    <n v="0"/>
    <n v="0"/>
    <n v="1061081250.0000001"/>
    <n v="16.248077138296431"/>
    <n v="39.99"/>
    <n v="2"/>
    <n v="36.75"/>
    <n v="0.11160714285714285"/>
    <n v="5.6899999999999999E-2"/>
    <n v="9.7900000000000001E-2"/>
    <n v="0.18790000000000001"/>
    <n v="1.5386597938144331"/>
    <n v="0.41494845360824745"/>
    <n v="0.71948356807511737"/>
    <n v="0.41843003412969282"/>
    <n v="74.853145400593462"/>
  </r>
  <r>
    <x v="3"/>
    <x v="0"/>
    <n v="34"/>
    <n v="59864.49"/>
    <n v="1760720294.1176472"/>
    <n v="0.21"/>
    <n v="6.2150000000000009E-3"/>
    <n v="8285295"/>
    <n v="34.49"/>
    <n v="15.72"/>
    <n v="4527000"/>
    <n v="5465000"/>
    <n v="5000000"/>
    <n v="5000000"/>
    <n v="806"/>
    <n v="894"/>
    <n v="945"/>
    <n v="620.91000000000008"/>
    <n v="0.32117880337950461"/>
    <n v="3104550000.0000005"/>
    <n v="59864.49"/>
    <n v="71"/>
    <n v="470000000"/>
    <n v="-78666250.000000134"/>
    <n v="3025883750.0000005"/>
    <n v="19.282823597622841"/>
    <n v="41.03"/>
    <n v="2.2599999999999998"/>
    <n v="15.044247787610621"/>
    <n v="0.16129032258064535"/>
    <n v="0.11840000000000001"/>
    <n v="0.27350000000000002"/>
    <n v="0.40849999999999997"/>
    <n v="2.8985690235690234"/>
    <n v="1.3947811447811447"/>
    <n v="1.0712952594251586"/>
    <n v="0.51721030816363311"/>
    <n v="58.549534820824881"/>
  </r>
  <r>
    <x v="4"/>
    <x v="0"/>
    <n v="171.48"/>
    <n v="31893.98"/>
    <n v="185992418.94098437"/>
    <n v="2.4900000000000002"/>
    <n v="1.4735E-2"/>
    <n v="864675"/>
    <n v="171.48"/>
    <n v="93.24"/>
    <n v="447902"/>
    <n v="516438"/>
    <n v="565000"/>
    <n v="565000"/>
    <n v="239"/>
    <n v="287"/>
    <n v="344.64016736401675"/>
    <n v="1221.2698326359832"/>
    <n v="0.63172759892659636"/>
    <n v="690017455.43933058"/>
    <n v="31893.98"/>
    <n v="0"/>
    <n v="0"/>
    <n v="0"/>
    <n v="690017455.43933058"/>
    <n v="46.221990108486843"/>
    <n v="96.84"/>
    <n v="1.83"/>
    <n v="93.704918032786878"/>
    <n v="0.25051851851851853"/>
    <n v="6.7400000000000002E-2"/>
    <n v="7.0999999999999994E-2"/>
    <n v="0.40770000000000001"/>
    <n v="5.2641509433962268"/>
    <n v="2.4905660377358489"/>
    <n v="4.3065981825365467E-2"/>
    <n v="4.1280060594584361E-2"/>
    <n v="71.8"/>
  </r>
  <r>
    <x v="5"/>
    <x v="1"/>
    <n v="9.77"/>
    <n v="2859.0729999999999"/>
    <n v="292637973.38792223"/>
    <n v="0"/>
    <n v="0"/>
    <n v="1473443"/>
    <n v="13"/>
    <n v="5.52"/>
    <n v="730000"/>
    <n v="783000"/>
    <n v="805000"/>
    <n v="805000"/>
    <n v="754"/>
    <n v="713"/>
    <n v="845"/>
    <n v="720.91000000000008"/>
    <n v="0.37290591413299617"/>
    <n v="580332550.00000012"/>
    <n v="2859.0729999999999"/>
    <n v="11.086"/>
    <n v="85000000"/>
    <n v="9976875"/>
    <n v="590309425.00000012"/>
    <n v="4.9266114747484"/>
    <n v="20.81"/>
    <n v="-0.32"/>
    <n v="17.22"/>
    <n v="8.3333333333333412E-2"/>
    <n v="-3.3799999999999997E-2"/>
    <n v="-4.4400000000000002E-2"/>
    <n v="-6.8000000000000005E-2"/>
    <n v="3.8081632653061224"/>
    <n v="0.17551020408163265"/>
    <n v="0.30784123910939015"/>
    <n v="0.23538119911176905"/>
    <n v="73.357142857142861"/>
  </r>
  <r>
    <x v="6"/>
    <x v="1"/>
    <n v="23.44"/>
    <n v="8714.4380000000001"/>
    <n v="371776365.18771327"/>
    <n v="0.73"/>
    <n v="3.2143999999999999E-2"/>
    <n v="5812515"/>
    <n v="23.85"/>
    <n v="11.29"/>
    <n v="3400000"/>
    <n v="3281000"/>
    <n v="3175000"/>
    <n v="3175000"/>
    <n v="976"/>
    <n v="1162"/>
    <n v="1070"/>
    <n v="495.91000000000008"/>
    <n v="0.25651991493764009"/>
    <n v="1574514250.0000002"/>
    <n v="8714.4380000000001"/>
    <n v="27"/>
    <n v="0"/>
    <n v="0"/>
    <n v="1574514250.0000002"/>
    <n v="5.5346834746017688"/>
    <n v="43.8"/>
    <n v="-0.03"/>
    <n v="20.45"/>
    <n v="4.129793510324474E-2"/>
    <n v="-1E-3"/>
    <n v="-2.5999999999999999E-3"/>
    <n v="-2E-3"/>
    <n v="1.3792623521224774"/>
    <n v="0.31732776617954073"/>
    <n v="1.5996212121212121"/>
    <n v="0.61532857351012682"/>
    <n v="65.737609876543203"/>
  </r>
  <r>
    <x v="7"/>
    <x v="1"/>
    <n v="8.5"/>
    <n v="10860.91"/>
    <n v="1277754117.6470587"/>
    <n v="-0.17"/>
    <n v="-1.9608E-2"/>
    <n v="9603543"/>
    <n v="8.8000000000000007"/>
    <n v="4"/>
    <n v="2452398"/>
    <n v="2507659"/>
    <n v="2400000"/>
    <n v="2400000"/>
    <n v="965"/>
    <n v="983"/>
    <n v="970"/>
    <n v="595.91000000000008"/>
    <n v="0.30824702569113166"/>
    <n v="1430184000.0000002"/>
    <n v="10860.91"/>
    <n v="24.3"/>
    <n v="0"/>
    <n v="0"/>
    <n v="1430184000.0000002"/>
    <n v="7.5940648196315976"/>
    <n v="34.49"/>
    <n v="0.56999999999999995"/>
    <n v="14.912280701754387"/>
    <n v="0.20000000000000018"/>
    <n v="8.3900000000000002E-2"/>
    <n v="0.14630000000000001"/>
    <n v="0.20549999999999999"/>
    <n v="2.9626623376623376"/>
    <n v="0.93344155844155841"/>
    <n v="0.70652378266591465"/>
    <n v="0.41405905685323929"/>
    <n v="70.135273267521782"/>
  </r>
  <r>
    <x v="8"/>
    <x v="1"/>
    <n v="6.43"/>
    <n v="6529.8580000000002"/>
    <n v="1015530015.5520996"/>
    <n v="7.0000000000000007E-2"/>
    <n v="1.1006E-2"/>
    <n v="13219914"/>
    <n v="6.51"/>
    <n v="3.12"/>
    <n v="953504"/>
    <n v="980219"/>
    <n v="1027500"/>
    <n v="1027500"/>
    <n v="758"/>
    <n v="862"/>
    <n v="800"/>
    <n v="765.91000000000008"/>
    <n v="0.3961831139720674"/>
    <n v="786972525.00000012"/>
    <n v="6529.8580000000002"/>
    <n v="5.82"/>
    <n v="0"/>
    <n v="0"/>
    <n v="786972525.00000012"/>
    <n v="8.2974408795275281"/>
    <n v="398.85"/>
    <n v="0.28999999999999998"/>
    <n v="22.172413793103448"/>
    <n v="0.81249999999999989"/>
    <n v="0.112"/>
    <n v="0.16289999999999999"/>
    <n v="0.25390000000000001"/>
    <n v="2.4666666666666668"/>
    <n v="0.8545454545454545"/>
    <n v="0.34824120603015074"/>
    <n v="0.25829295564666416"/>
    <n v="45.354572834994777"/>
  </r>
  <r>
    <x v="9"/>
    <x v="1"/>
    <n v="5.92"/>
    <n v="5471.223"/>
    <n v="924193074.32432437"/>
    <n v="0.15"/>
    <n v="2.5996999999999999E-2"/>
    <n v="11375278"/>
    <n v="6.56"/>
    <n v="2.41"/>
    <n v="1133635"/>
    <n v="1024454"/>
    <n v="990000"/>
    <n v="990000"/>
    <n v="971"/>
    <n v="978"/>
    <n v="999"/>
    <n v="566.91000000000008"/>
    <n v="0.29324616357261918"/>
    <n v="561240900.00000012"/>
    <n v="5471.223"/>
    <n v="7.8"/>
    <n v="0"/>
    <n v="0"/>
    <n v="561240900.00000012"/>
    <n v="9.7484395738086782"/>
    <n v="24.59"/>
    <n v="0.24"/>
    <n v="24.666666666666668"/>
    <n v="-0.10555555555555553"/>
    <n v="2.98E-2"/>
    <n v="5.5199999999999999E-2"/>
    <n v="0.1399"/>
    <n v="0.98432908912830563"/>
    <n v="0.38883447600391779"/>
    <n v="0.6865802507168417"/>
    <n v="0.40708424661383696"/>
    <n v="66.715699999999998"/>
  </r>
  <r>
    <x v="10"/>
    <x v="1"/>
    <n v="10.94"/>
    <n v="2039.2380000000001"/>
    <n v="186402010.96892139"/>
    <n v="-0.06"/>
    <n v="-5.4549999999999998E-3"/>
    <n v="1029446"/>
    <n v="18.295000000000002"/>
    <n v="6.25"/>
    <n v="367428"/>
    <n v="351348"/>
    <n v="345000"/>
    <n v="345000"/>
    <n v="745"/>
    <n v="888"/>
    <n v="985"/>
    <n v="580.91000000000008"/>
    <n v="0.30048795907810799"/>
    <n v="200413950.00000003"/>
    <n v="2039.2380000000001"/>
    <n v="3.6"/>
    <n v="0"/>
    <n v="0"/>
    <n v="200413950.00000003"/>
    <n v="10.175130024631518"/>
    <n v="92.18"/>
    <n v="0.22"/>
    <n v="49.727272727272727"/>
    <n v="1.7247191011235956"/>
    <n v="2.5700000000000001E-2"/>
    <n v="4.41E-2"/>
    <n v="8.4400000000000003E-2"/>
    <n v="0.48837209302325579"/>
    <n v="0.17829457364341086"/>
    <n v="0.64884696016771493"/>
    <n v="0.39351557533375714"/>
    <n v="81"/>
  </r>
  <r>
    <x v="11"/>
    <x v="1"/>
    <n v="6.79"/>
    <n v="3750.355"/>
    <n v="552335051.54639173"/>
    <n v="-0.14000000000000001"/>
    <n v="-2.0202000000000001E-2"/>
    <n v="5215829"/>
    <n v="7.7750000000000004"/>
    <n v="3.34"/>
    <n v="505000"/>
    <n v="495500"/>
    <n v="445000"/>
    <n v="445000"/>
    <n v="989"/>
    <n v="951"/>
    <n v="1040"/>
    <n v="525.91000000000008"/>
    <n v="0.2720380481636876"/>
    <n v="234029950.00000003"/>
    <n v="3750.355"/>
    <n v="9.7260000000000009"/>
    <n v="0"/>
    <n v="0"/>
    <n v="234029950.00000003"/>
    <n v="16.025107042923349"/>
    <n v="31.32"/>
    <n v="0.25"/>
    <n v="27.16"/>
    <n v="0.25847457627118658"/>
    <n v="2.8899999999999999E-2"/>
    <n v="3.6299999999999999E-2"/>
    <n v="0.14069999999999999"/>
    <n v="3.1023622047244093"/>
    <n v="1.4409448818897639"/>
    <n v="0.26011131725417441"/>
    <n v="0.20635855166323228"/>
    <n v="74.234820982514577"/>
  </r>
  <r>
    <x v="12"/>
    <x v="2"/>
    <n v="2.61"/>
    <n v="1583.9780000000001"/>
    <n v="606888122.60536397"/>
    <n v="0.01"/>
    <n v="3.846E-3"/>
    <n v="218150"/>
    <n v="2.66"/>
    <n v="1.39"/>
    <n v="472418"/>
    <n v="480529"/>
    <n v="525000"/>
    <n v="525000"/>
    <n v="884"/>
    <n v="943"/>
    <n v="895"/>
    <n v="670.91000000000008"/>
    <n v="0.34704235875625039"/>
    <n v="352227750.00000006"/>
    <n v="1583.9780000000001"/>
    <n v="7.25"/>
    <n v="0"/>
    <n v="0"/>
    <n v="352227750.00000006"/>
    <n v="4.4970278463295399"/>
    <n v="35.33"/>
    <n v="7.0000000000000007E-2"/>
    <n v="37.285714285714278"/>
    <n v="-5.1048167706833139E-2"/>
    <n v="0.04"/>
    <n v="4.19E-2"/>
    <n v="8.9800000000000005E-2"/>
    <n v="8.9361702127659566"/>
    <n v="6.0212765957446805"/>
    <n v="4.73970473970474E-2"/>
    <n v="4.5252225519287835E-2"/>
    <n v="70"/>
  </r>
  <r>
    <x v="13"/>
    <x v="2"/>
    <n v="11.96"/>
    <n v="1990.627"/>
    <n v="166440384.61538461"/>
    <n v="-0.15"/>
    <n v="-1.2385999999999999E-2"/>
    <n v="2025737"/>
    <n v="14.99"/>
    <n v="4.0999999999999996"/>
    <n v="313797"/>
    <n v="395331"/>
    <n v="535000"/>
    <n v="535000"/>
    <n v="994"/>
    <n v="1034"/>
    <n v="900"/>
    <n v="665.91000000000008"/>
    <n v="0.34445600321857583"/>
    <n v="356261850.00000006"/>
    <n v="1990.627"/>
    <n v="16.359000000000002"/>
    <n v="0"/>
    <n v="0"/>
    <n v="356261850.00000006"/>
    <n v="5.5875390530869353"/>
    <n v="20.450980392156861"/>
    <n v="0.51"/>
    <n v="23.450980392156865"/>
    <n v="0.58056265984654731"/>
    <n v="1.7399999999999999E-2"/>
    <n v="2.41E-2"/>
    <n v="0.13039999999999999"/>
    <n v="1.9639639639639639"/>
    <n v="0.80180180180180183"/>
    <n v="0.36134699853587116"/>
    <n v="0.26543342654334268"/>
    <n v="78.540656326695853"/>
  </r>
  <r>
    <x v="14"/>
    <x v="2"/>
    <n v="4.29"/>
    <n v="2010.328"/>
    <n v="468607925.40792543"/>
    <n v="0"/>
    <n v="0"/>
    <n v="4095836"/>
    <n v="5.55"/>
    <n v="2"/>
    <n v="882000"/>
    <n v="762000"/>
    <n v="730000"/>
    <n v="730000"/>
    <n v="1068"/>
    <n v="1141"/>
    <n v="1125"/>
    <n v="440.91000000000008"/>
    <n v="0.22807000402321975"/>
    <n v="321864300.00000006"/>
    <n v="2010.328"/>
    <n v="16.706"/>
    <n v="0"/>
    <n v="0"/>
    <n v="321864300.00000006"/>
    <n v="6.2458868535590915"/>
    <n v="-5.5113636363636358"/>
    <n v="-0.88"/>
    <n v="-4.875"/>
    <n v="-1.8348623853211024E-2"/>
    <n v="-0.1055"/>
    <n v="-0.16250000000000001"/>
    <n v="-0.38729999999999998"/>
    <n v="4.7481203007518795"/>
    <n v="3.1240601503759398"/>
    <n v="0.64620630861040074"/>
    <n v="0.3925427239772139"/>
    <n v="67.902739726027406"/>
  </r>
  <r>
    <x v="15"/>
    <x v="2"/>
    <n v="10.210000000000001"/>
    <n v="2138.19"/>
    <n v="209421155.72967678"/>
    <n v="0.68"/>
    <n v="7.1354000000000001E-2"/>
    <n v="683381"/>
    <n v="13.49"/>
    <n v="5.0199999999999996"/>
    <n v="0"/>
    <n v="28678"/>
    <n v="280000"/>
    <n v="280000"/>
    <n v="0"/>
    <n v="621"/>
    <n v="621"/>
    <n v="944.91000000000008"/>
    <n v="0.48877464222081735"/>
    <n v="264574800.00000003"/>
    <n v="2138.19"/>
    <n v="4.8159999999999998"/>
    <n v="0"/>
    <n v="0"/>
    <n v="264574800.00000003"/>
    <n v="8.0816086792846473"/>
    <n v="0"/>
    <n v="0"/>
    <n v="0"/>
    <n v="0"/>
    <n v="0"/>
    <n v="0"/>
    <n v="0"/>
    <n v="1.2844827586206897"/>
    <n v="0.65517241379310343"/>
    <n v="2.0171306209850108"/>
    <n v="0.66855926188786374"/>
    <n v="61.54"/>
  </r>
  <r>
    <x v="16"/>
    <x v="2"/>
    <n v="21.53"/>
    <n v="1932.4259999999999"/>
    <n v="89755039.479795635"/>
    <n v="-0.42"/>
    <n v="-1.9133999999999998E-2"/>
    <n v="680140"/>
    <n v="25.57"/>
    <n v="12.12"/>
    <n v="347090"/>
    <n v="421828"/>
    <n v="425000"/>
    <n v="425000"/>
    <n v="1088"/>
    <n v="1087"/>
    <n v="1087"/>
    <n v="478.91000000000008"/>
    <n v="0.24772630610954657"/>
    <n v="203536750.00000003"/>
    <n v="1932.4259999999999"/>
    <n v="5.3760000000000003"/>
    <n v="0"/>
    <n v="0"/>
    <n v="203536750.00000003"/>
    <n v="9.4942362988502058"/>
    <n v="68.319999999999993"/>
    <n v="0.47"/>
    <n v="45.808510638297875"/>
    <n v="0.35225171023018481"/>
    <n v="3.5000000000000003E-2"/>
    <n v="5.4399999999999997E-2"/>
    <n v="9.4399999999999998E-2"/>
    <n v="3.8461538461538463"/>
    <n v="2.1538461538461537"/>
    <n v="0.54320987654320985"/>
    <n v="0.35199999999999998"/>
    <n v="73.572779317647061"/>
  </r>
  <r>
    <x v="17"/>
    <x v="2"/>
    <n v="3.55"/>
    <n v="1179.777"/>
    <n v="332331549.29577464"/>
    <n v="0.01"/>
    <n v="2.8249999999999998E-3"/>
    <n v="3155032"/>
    <n v="5.75"/>
    <n v="1.57"/>
    <n v="244600"/>
    <n v="340900"/>
    <n v="335000"/>
    <n v="335000"/>
    <n v="951"/>
    <n v="724"/>
    <n v="927.5"/>
    <n v="638.41000000000008"/>
    <n v="0.33023104776136564"/>
    <n v="213867350.00000003"/>
    <n v="1179.777"/>
    <n v="25.341000000000001"/>
    <n v="0"/>
    <n v="0"/>
    <n v="213867350.00000003"/>
    <n v="5.5163960277246602"/>
    <n v="13.78"/>
    <n v="0.15"/>
    <n v="23.666666666666668"/>
    <n v="0.83694351133248379"/>
    <n v="4.6800000000000001E-2"/>
    <n v="6.6100000000000006E-2"/>
    <n v="0.1055"/>
    <n v="1.7191780821917808"/>
    <n v="0.67123287671232879"/>
    <n v="0.39097744360902253"/>
    <n v="0.2810810810810811"/>
    <n v="63.253588516746404"/>
  </r>
  <r>
    <x v="18"/>
    <x v="2"/>
    <n v="16.11"/>
    <n v="1291.5509999999999"/>
    <n v="80170763.500931099"/>
    <n v="0.93"/>
    <n v="6.1265E-2"/>
    <n v="715455"/>
    <n v="22.45"/>
    <n v="8.7899999999999991"/>
    <n v="347640"/>
    <n v="454811"/>
    <n v="450000"/>
    <n v="450000"/>
    <n v="964"/>
    <n v="805"/>
    <n v="930"/>
    <n v="635.91000000000008"/>
    <n v="0.32893786999252833"/>
    <n v="286159500.00000006"/>
    <n v="1291.5509999999999"/>
    <n v="2.2400000000000002"/>
    <n v="0"/>
    <n v="0"/>
    <n v="286159500.00000006"/>
    <n v="4.5133955014598488"/>
    <n v="36.53"/>
    <n v="0.84"/>
    <n v="19.178571428571427"/>
    <n v="1.0349317243569387"/>
    <n v="5.6899999999999999E-2"/>
    <n v="8.9300000000000004E-2"/>
    <n v="0.1111"/>
    <n v="1.3950617283950617"/>
    <n v="0.66666666666666663"/>
    <n v="0.47305389221556887"/>
    <n v="0.32113821138211385"/>
    <n v="67.239999999999995"/>
  </r>
  <r>
    <x v="19"/>
    <x v="3"/>
    <n v="5.99"/>
    <n v="1104.8869999999999"/>
    <n v="184455258.76460767"/>
    <n v="-0.13"/>
    <n v="-2.1242E-2"/>
    <n v="907266"/>
    <n v="6.66"/>
    <n v="3.2"/>
    <n v="201000"/>
    <n v="231000"/>
    <n v="274000"/>
    <n v="274000"/>
    <n v="659"/>
    <n v="725"/>
    <n v="720"/>
    <n v="845.91000000000008"/>
    <n v="0.5402034599689638"/>
    <n v="231779340.00000003"/>
    <n v="1104.8869999999999"/>
    <n v="2.5819999999999999"/>
    <n v="0"/>
    <n v="0"/>
    <n v="231779340.00000003"/>
    <n v="4.7669779368601182"/>
    <n v="38.83"/>
    <n v="0.21"/>
    <n v="28.523809523809526"/>
    <n v="0.34927904397295073"/>
    <n v="2.29E-2"/>
    <n v="3.1199999999999999E-2"/>
    <n v="5.6000000000000001E-2"/>
    <n v="0.90322580645161288"/>
    <n v="0.18279569892473119"/>
    <n v="0.36075949367088606"/>
    <n v="0.26511627906976742"/>
    <n v="58.340756756756761"/>
  </r>
  <r>
    <x v="20"/>
    <x v="3"/>
    <n v="10.55"/>
    <n v="2256.4760000000001"/>
    <n v="213883981.04265401"/>
    <n v="0.1"/>
    <n v="9.5689999999999994E-3"/>
    <n v="2641712"/>
    <n v="13.52"/>
    <n v="4.9000000000000004"/>
    <n v="25601"/>
    <n v="194941"/>
    <n v="700000"/>
    <n v="700000"/>
    <n v="886"/>
    <n v="931"/>
    <n v="1000"/>
    <n v="565.91000000000008"/>
    <n v="0.36139369440133856"/>
    <n v="396137000.00000006"/>
    <n v="2256.4760000000001"/>
    <n v="12.7"/>
    <n v="0"/>
    <n v="0"/>
    <n v="396137000.00000006"/>
    <n v="5.6962010617538876"/>
    <n v="-18.163636363636364"/>
    <n v="-0.55000000000000004"/>
    <n v="-19.18181818181818"/>
    <n v="17.779800000000002"/>
    <n v="-3.0800000000000001E-2"/>
    <n v="-5.2200000000000003E-2"/>
    <n v="-0.10199999999999999"/>
    <n v="1.1268391410140763"/>
    <n v="0.5132994246643876"/>
    <n v="1.0824494676957963"/>
    <n v="0.51979627092392922"/>
    <n v="63.12"/>
  </r>
  <r>
    <x v="21"/>
    <x v="3"/>
    <n v="0.115"/>
    <n v="97.313829999999996"/>
    <n v="846207217.39130425"/>
    <n v="0"/>
    <n v="0"/>
    <n v="559648"/>
    <n v="0.35"/>
    <n v="7.4999999999999997E-2"/>
    <n v="0"/>
    <n v="27316"/>
    <n v="45000"/>
    <n v="45000"/>
    <n v="0"/>
    <n v="2300"/>
    <n v="1562.5"/>
    <n v="3.4100000000000819"/>
    <n v="2.1776475020914877E-3"/>
    <n v="153450.0000000037"/>
    <n v="97.313829999999996"/>
    <n v="0.89"/>
    <n v="0"/>
    <n v="0"/>
    <n v="153450.0000000037"/>
    <n v="634.17289019222972"/>
    <n v="-1.4999999999999998"/>
    <n v="-0.1"/>
    <n v="-1.1499999999999999"/>
    <n v="0"/>
    <n v="-0.49459999999999998"/>
    <n v="-88.6327"/>
    <n v="-1.2377"/>
    <n v="0.25641025641025639"/>
    <n v="5.128205128205128E-2"/>
    <s v="N/A"/>
    <n v="1.1463414634146341"/>
    <n v="77.17"/>
  </r>
  <r>
    <x v="22"/>
    <x v="3"/>
    <n v="3.85"/>
    <n v="857.61599999999999"/>
    <n v="222757402.5974026"/>
    <n v="-0.19"/>
    <n v="-4.7030000000000002E-2"/>
    <n v="2298302"/>
    <n v="4.4649999999999999"/>
    <n v="1.27"/>
    <n v="47237"/>
    <n v="82256"/>
    <n v="115000"/>
    <n v="115000"/>
    <n v="809"/>
    <n v="680"/>
    <n v="750"/>
    <n v="815.91000000000008"/>
    <n v="0.52104527080100393"/>
    <n v="93829650.000000015"/>
    <n v="857.61599999999999"/>
    <n v="2.4"/>
    <n v="0"/>
    <n v="0"/>
    <n v="93829650.000000015"/>
    <n v="9.1401385382978617"/>
    <n v="9.19"/>
    <n v="0.16"/>
    <n v="24.0625"/>
    <n v="0.92452830188679247"/>
    <n v="0.2681"/>
    <n v="0.33639999999999998"/>
    <n v="0.32"/>
    <n v="1.5666666666666667"/>
    <n v="1"/>
    <n v="0.24"/>
    <n v="0.19354838709677419"/>
    <n v="65"/>
  </r>
  <r>
    <x v="23"/>
    <x v="3"/>
    <n v="1.42"/>
    <n v="378.41660000000002"/>
    <n v="266490563.38028172"/>
    <n v="0.11"/>
    <n v="8.3969000000000002E-2"/>
    <n v="902717"/>
    <n v="2.84"/>
    <n v="0.76"/>
    <n v="175640"/>
    <n v="174420"/>
    <n v="172500"/>
    <n v="172500"/>
    <n v="1061"/>
    <n v="1083"/>
    <n v="1100"/>
    <n v="465.91000000000008"/>
    <n v="0.29753306384147243"/>
    <n v="80369475.000000015"/>
    <n v="378.41660000000002"/>
    <n v="0.74"/>
    <n v="0"/>
    <n v="0"/>
    <n v="80369475.000000015"/>
    <n v="4.7084617636235642"/>
    <n v="-9.7647058823529402"/>
    <n v="-0.17"/>
    <n v="-8.352941176470587"/>
    <n v="0.73440047428486732"/>
    <n v="-9.5699999999999993E-2"/>
    <n v="-0.12130000000000001"/>
    <n v="-0.51060000000000005"/>
    <n v="1.8775510204081634"/>
    <n v="0.93877551020408168"/>
    <n v="0.26452905811623245"/>
    <n v="0.2091917591125198"/>
    <n v="69.291951219512185"/>
  </r>
  <r>
    <x v="24"/>
    <x v="3"/>
    <n v="1.06"/>
    <n v="673.53470000000004"/>
    <n v="635410094.33962262"/>
    <n v="0.06"/>
    <n v="0.06"/>
    <n v="5015125"/>
    <n v="2.0299999999999998"/>
    <n v="0.55000000000000004"/>
    <n v="522603"/>
    <n v="486141"/>
    <n v="326500"/>
    <n v="326500"/>
    <n v="1099"/>
    <n v="1310"/>
    <n v="1300"/>
    <n v="265.91000000000008"/>
    <n v="0.16981180272174012"/>
    <n v="86819615.00000003"/>
    <n v="673.53470000000004"/>
    <n v="11.811"/>
    <n v="0"/>
    <n v="0"/>
    <n v="86819615.00000003"/>
    <n v="7.7578632432313803"/>
    <n v="-9.5833333333333321"/>
    <n v="-0.12"/>
    <n v="-8.8333333333333339"/>
    <n v="0.62233084641111402"/>
    <n v="-3.4000000000000002E-2"/>
    <n v="-7.6499999999999999E-2"/>
    <n v="-0.1166"/>
    <n v="1.3313953488372092"/>
    <n v="0.48255813953488375"/>
    <n v="1.2455775234131112"/>
    <n v="0.55442334414080596"/>
    <n v="79.146907216494839"/>
  </r>
  <r>
    <x v="25"/>
    <x v="3"/>
    <n v="9.65"/>
    <n v="1587.5340000000001"/>
    <n v="164511295.33678755"/>
    <n v="0.14000000000000001"/>
    <n v="1.4721E-2"/>
    <n v="1637950"/>
    <n v="9.65"/>
    <n v="2.97"/>
    <n v="245230"/>
    <n v="288768"/>
    <n v="350000"/>
    <n v="350000"/>
    <n v="887"/>
    <n v="963"/>
    <n v="1037.5"/>
    <n v="528.41000000000008"/>
    <n v="0.33744595794138876"/>
    <n v="184943500.00000003"/>
    <n v="1587.5340000000001"/>
    <n v="2.19"/>
    <n v="0"/>
    <n v="0"/>
    <n v="184943500.00000003"/>
    <n v="8.5838864301800264"/>
    <n v="-22.64516129032258"/>
    <n v="-0.31"/>
    <n v="-31.129032258064516"/>
    <n v="0.21191031267142074"/>
    <n v="-3.1600000000000003E-2"/>
    <n v="-5.91E-2"/>
    <n v="-9.4500000000000001E-2"/>
    <n v="0.77960526315789469"/>
    <n v="9.8684210526315791E-2"/>
    <n v="1.1420765027322404"/>
    <n v="0.53061224489795922"/>
    <n v="69.176892253511355"/>
  </r>
  <r>
    <x v="26"/>
    <x v="3"/>
    <n v="1.29"/>
    <n v="126.8386"/>
    <n v="98324496.124031007"/>
    <n v="0.19"/>
    <n v="0.17272699999999999"/>
    <n v="1271742"/>
    <n v="6.95"/>
    <n v="0.44"/>
    <n v="110970"/>
    <n v="139510"/>
    <n v="113700"/>
    <n v="113700"/>
    <n v="1291"/>
    <n v="1075"/>
    <n v="1100"/>
    <n v="465.91000000000008"/>
    <n v="0.29753306384147243"/>
    <n v="52973967.000000007"/>
    <n v="126.8386"/>
    <n v="5.2"/>
    <n v="0"/>
    <n v="0"/>
    <n v="52973967.000000007"/>
    <n v="2.3943572132326807"/>
    <n v="0"/>
    <n v="0"/>
    <n v="0"/>
    <n v="0"/>
    <n v="0"/>
    <n v="0"/>
    <n v="0"/>
    <n v="0"/>
    <n v="0"/>
    <n v="0"/>
    <n v="0"/>
    <n v="77.27"/>
  </r>
  <r>
    <x v="27"/>
    <x v="3"/>
    <n v="7.97"/>
    <n v="469.94389999999999"/>
    <n v="58964102.885821834"/>
    <n v="-0.08"/>
    <n v="-9.9380000000000007E-3"/>
    <n v="140550"/>
    <n v="9.9"/>
    <n v="4.0199999999999996"/>
    <n v="0"/>
    <n v="0"/>
    <n v="210000"/>
    <n v="210000"/>
    <n v="0"/>
    <n v="0"/>
    <n v="800"/>
    <n v="765.91000000000008"/>
    <n v="0.48911495552107082"/>
    <n v="160841100.00000003"/>
    <n v="469.94389999999999"/>
    <n v="4.4000000000000004"/>
    <n v="0"/>
    <n v="0"/>
    <n v="160841100.00000003"/>
    <n v="2.9217898907679687"/>
    <n v="0"/>
    <n v="0"/>
    <n v="0"/>
    <n v="0"/>
    <n v="0"/>
    <n v="0"/>
    <n v="0"/>
    <n v="0.20454545454545456"/>
    <n v="0.13636363636363635"/>
    <n v="0.33816964285714285"/>
    <n v="0.25271059216013342"/>
    <n v="75"/>
  </r>
  <r>
    <x v="28"/>
    <x v="3"/>
    <n v="9.51"/>
    <n v="1348.1859999999999"/>
    <n v="141765089.37960044"/>
    <n v="-0.26"/>
    <n v="-2.6612E-2"/>
    <n v="1027871"/>
    <n v="11.06"/>
    <n v="3.96"/>
    <n v="71625"/>
    <n v="91688"/>
    <n v="95000"/>
    <n v="95000"/>
    <n v="1276"/>
    <n v="1293"/>
    <n v="1315"/>
    <n v="250.91000000000008"/>
    <n v="0.16023270813776019"/>
    <n v="23836450.000000007"/>
    <n v="1348.1859999999999"/>
    <n v="0.5605"/>
    <n v="0"/>
    <n v="0"/>
    <n v="23836450.000000007"/>
    <n v="56.559848467368241"/>
    <n v="44.22"/>
    <n v="0.3"/>
    <n v="31.7"/>
    <n v="0.70695398709140111"/>
    <n v="0.1653"/>
    <n v="0.22520000000000001"/>
    <n v="0.24970000000000001"/>
    <n v="2.1785714285714284"/>
    <n v="1.2857142857142858"/>
    <n v="0.38164251207729466"/>
    <n v="0.2762237762237762"/>
    <n v="77.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90C610-936E-43BC-9866-5EFF186CCB25}" name="PivotTable2" cacheId="49"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location ref="B2:F7" firstHeaderRow="0" firstDataRow="1" firstDataCol="1"/>
  <pivotFields count="39">
    <pivotField compact="0" showAll="0"/>
    <pivotField axis="axisRow" compact="0" showAll="0">
      <items count="5">
        <item x="0"/>
        <item x="1"/>
        <item x="3"/>
        <item x="2"/>
        <item t="default"/>
      </items>
    </pivotField>
    <pivotField compact="0" numFmtId="2" showAll="0"/>
    <pivotField compact="0" numFmtId="169" showAll="0"/>
    <pivotField compact="0" numFmtId="169" showAll="0"/>
    <pivotField compact="0" showAll="0"/>
    <pivotField compact="0" numFmtId="10" showAll="0"/>
    <pivotField compact="0" numFmtId="169" showAll="0"/>
    <pivotField compact="0" numFmtId="2" showAll="0"/>
    <pivotField compact="0" numFmtId="2" showAll="0"/>
    <pivotField compact="0" numFmtId="169" showAll="0"/>
    <pivotField compact="0" numFmtId="169" showAll="0"/>
    <pivotField compact="0" numFmtId="169" showAll="0"/>
    <pivotField compact="0" numFmtId="169" showAll="0"/>
    <pivotField compact="0" numFmtId="169" showAll="0"/>
    <pivotField compact="0" numFmtId="169" showAll="0"/>
    <pivotField compact="0" numFmtId="169" showAll="0"/>
    <pivotField compact="0" numFmtId="169" showAll="0"/>
    <pivotField compact="0" numFmtId="9" showAll="0"/>
    <pivotField compact="0" showAll="0"/>
    <pivotField compact="0" showAll="0"/>
    <pivotField compact="0" numFmtId="2" showAll="0"/>
    <pivotField compact="0" numFmtId="1" showAll="0"/>
    <pivotField compact="0" numFmtId="1" showAll="0"/>
    <pivotField compact="0" numFmtId="169" showAll="0"/>
    <pivotField compact="0" numFmtId="43" showAll="0"/>
    <pivotField compact="0" showAll="0"/>
    <pivotField compact="0" showAll="0"/>
    <pivotField compact="0" showAll="0"/>
    <pivotField compact="0" showAll="0"/>
    <pivotField compact="0" showAll="0"/>
    <pivotField compact="0" showAll="0"/>
    <pivotField compact="0" showAll="0"/>
    <pivotField dataField="1" compact="0" showAll="0"/>
    <pivotField dataField="1" compact="0" showAll="0"/>
    <pivotField dataField="1" compact="0" showAll="0"/>
    <pivotField dataField="1" compact="0" showAll="0"/>
    <pivotField compact="0" numFmtId="43" showAll="0"/>
    <pivotField compact="0" dragToRow="0" dragToCol="0" dragToPage="0" showAll="0" defaultSubtotal="0"/>
  </pivotFields>
  <rowFields count="1">
    <field x="1"/>
  </rowFields>
  <rowItems count="5">
    <i>
      <x/>
    </i>
    <i>
      <x v="1"/>
    </i>
    <i>
      <x v="2"/>
    </i>
    <i>
      <x v="3"/>
    </i>
    <i t="grand">
      <x/>
    </i>
  </rowItems>
  <colFields count="1">
    <field x="-2"/>
  </colFields>
  <colItems count="4">
    <i>
      <x/>
    </i>
    <i i="1">
      <x v="1"/>
    </i>
    <i i="2">
      <x v="2"/>
    </i>
    <i i="3">
      <x v="3"/>
    </i>
  </colItems>
  <dataFields count="4">
    <dataField name="Average of Current Ratio" fld="33" subtotal="average" baseField="1" baseItem="0" numFmtId="2"/>
    <dataField name="Average of Cash Ratio" fld="34" subtotal="average" baseField="1" baseItem="0" numFmtId="2"/>
    <dataField name="Average of Debt-Equity" fld="35" subtotal="average" baseField="1" baseItem="0" numFmtId="2"/>
    <dataField name="Average of Debt-Assest" fld="36" subtotal="average" baseField="1"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B96D62-D8D5-424D-B16A-E7244803D202}" name="PivotTable3" cacheId="49"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1">
  <location ref="B10:D21" firstHeaderRow="1" firstDataRow="1" firstDataCol="2"/>
  <pivotFields count="39">
    <pivotField axis="axisRow" compact="0" showAll="0">
      <items count="30">
        <item x="2"/>
        <item x="11"/>
        <item x="6"/>
        <item x="8"/>
        <item x="3"/>
        <item x="12"/>
        <item x="5"/>
        <item x="19"/>
        <item x="13"/>
        <item x="20"/>
        <item x="4"/>
        <item x="21"/>
        <item x="14"/>
        <item x="22"/>
        <item x="7"/>
        <item x="1"/>
        <item x="15"/>
        <item x="23"/>
        <item x="24"/>
        <item x="0"/>
        <item x="10"/>
        <item x="17"/>
        <item x="16"/>
        <item x="25"/>
        <item x="26"/>
        <item x="18"/>
        <item x="27"/>
        <item x="28"/>
        <item x="9"/>
        <item t="default"/>
      </items>
    </pivotField>
    <pivotField axis="axisRow" compact="0" multipleItemSelectionAllowed="1" showAll="0">
      <items count="5">
        <item x="0"/>
        <item h="1" x="1"/>
        <item h="1" x="3"/>
        <item h="1" x="2"/>
        <item t="default"/>
      </items>
    </pivotField>
    <pivotField compact="0" numFmtId="2" showAll="0"/>
    <pivotField compact="0" numFmtId="169" showAll="0"/>
    <pivotField compact="0" numFmtId="169" showAll="0"/>
    <pivotField compact="0" showAll="0"/>
    <pivotField compact="0" numFmtId="10" showAll="0"/>
    <pivotField compact="0" numFmtId="169" showAll="0"/>
    <pivotField compact="0" numFmtId="2" showAll="0"/>
    <pivotField compact="0" numFmtId="2" showAll="0"/>
    <pivotField compact="0" numFmtId="169" showAll="0"/>
    <pivotField compact="0" numFmtId="169" showAll="0"/>
    <pivotField compact="0" numFmtId="169" showAll="0"/>
    <pivotField compact="0" numFmtId="169" showAll="0"/>
    <pivotField compact="0" numFmtId="169" showAll="0"/>
    <pivotField compact="0" numFmtId="169" showAll="0"/>
    <pivotField compact="0" numFmtId="169" showAll="0"/>
    <pivotField compact="0" numFmtId="169" showAll="0"/>
    <pivotField compact="0" numFmtId="9" showAll="0"/>
    <pivotField compact="0" showAll="0"/>
    <pivotField compact="0" showAll="0"/>
    <pivotField compact="0" numFmtId="2" showAll="0"/>
    <pivotField compact="0" numFmtId="1" showAll="0"/>
    <pivotField compact="0" numFmtId="1" showAll="0"/>
    <pivotField compact="0" numFmtId="169" showAll="0"/>
    <pivotField compact="0" numFmtId="43" showAll="0"/>
    <pivotField compact="0" showAll="0"/>
    <pivotField compact="0" showAll="0"/>
    <pivotField compact="0" showAll="0"/>
    <pivotField compact="0" showAll="0"/>
    <pivotField compact="0" showAll="0"/>
    <pivotField compact="0" showAll="0"/>
    <pivotField compact="0" showAll="0"/>
    <pivotField dataField="1" compact="0" showAll="0" avgSubtotal="1"/>
    <pivotField compact="0" showAll="0"/>
    <pivotField compact="0" showAll="0"/>
    <pivotField compact="0" showAll="0"/>
    <pivotField compact="0" numFmtId="43" showAll="0"/>
    <pivotField compact="0" dragToRow="0" dragToCol="0" dragToPage="0" showAll="0" defaultSubtotal="0"/>
  </pivotFields>
  <rowFields count="2">
    <field x="0"/>
    <field x="1"/>
  </rowFields>
  <rowItems count="11">
    <i>
      <x/>
    </i>
    <i r="1">
      <x/>
    </i>
    <i>
      <x v="4"/>
    </i>
    <i r="1">
      <x/>
    </i>
    <i>
      <x v="10"/>
    </i>
    <i r="1">
      <x/>
    </i>
    <i>
      <x v="15"/>
    </i>
    <i r="1">
      <x/>
    </i>
    <i>
      <x v="19"/>
    </i>
    <i r="1">
      <x/>
    </i>
    <i t="grand">
      <x/>
    </i>
  </rowItems>
  <colItems count="1">
    <i/>
  </colItems>
  <dataFields count="1">
    <dataField name="Sum of Current Ratio" fld="33" baseField="0" baseItem="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Attribution Size">
          <flag name="ShowInAutoComplete"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Flags>
    </type>
  </types>
</rvTypesInfo>
</file>

<file path=xl/richData/rdrichvalue.xml><?xml version="1.0" encoding="utf-8"?>
<rvData xmlns="http://schemas.microsoft.com/office/spreadsheetml/2017/richdata" count="232">
  <rv s="0">
    <v>https://www.bing.com/financeapi/forcetrigger?t=aaxer7&amp;q=XTSE%3aCEE&amp;form=skydnc</v>
    <v>Learn more on Bing</v>
  </rv>
  <rv s="1">
    <v>en-US</v>
    <v>aaxer7</v>
    <v>268435456</v>
    <v>268435457</v>
    <v>1</v>
    <v>Powered by Refinitiv</v>
    <v>0</v>
    <v>Centamin PLC (XTSE:CEE)</v>
    <v>2</v>
    <v>3</v>
    <v>Finance</v>
    <v>4</v>
    <v>2.66</v>
    <v>1.39</v>
    <v>0.83169999999999999</v>
    <v>0.01</v>
    <v>3.846E-3</v>
    <v>CAD</v>
    <v>Centamin plc is a mineral exploration, development and mining company. The Company is engaged in the business of exploration and production of precious metals. It operates in Australia, Jersey, Egypt, Burkina Faso and Cote d'Ivoire. Its principal asset, the Sukari Gold Mine (SGM), is located in the Eastern Desert, approximately 900 kilometers from Cairo and 25 kilometers from the Red Sea. SGM is jointly owned by Pharaoh Gold Mines NL (PGM) and Egyptian Mineral Resource Authority (EMRA). It has a license holding over an area of approximately 100-kilometer trend of gold mineralization in Burkina Faso. The Company holds a tenement package over an approximately 2,200 square kilometer area in southern Burkina Faso, adjacent to the border with Cote d'Ivoire. It has seven permits in Cote d'Ivoire covering an area of over 2,330 square kilometers. Six of these are part of the Doropo Project across the border from Batie West in Burkina Faso and the other is in the west of the country.</v>
    <v>1380</v>
    <v>Toronto Stock Exchange</v>
    <v>XTSE</v>
    <v>XTSE</v>
    <v>Level 2, 2 Mulcaster Street, SAINT HELIER, JE2 3NJ JE</v>
    <v>2.66</v>
    <v>Metals &amp; Mining</v>
    <v>Stock</v>
    <v>43935.833333333336</v>
    <v>0</v>
    <v>2.5</v>
    <v>1583978000</v>
    <v>Centamin PLC</v>
    <v>Centamin PLC</v>
    <v>2.5299999999999998</v>
    <v>46.05</v>
    <v>2.6</v>
    <v>2.61</v>
    <v>1155955000</v>
    <v>CEE</v>
    <v>Centamin PLC (XTSE:CEE)</v>
    <v>218150</v>
    <v>2011</v>
  </rv>
  <rv s="2">
    <v>1</v>
  </rv>
  <rv s="0">
    <v>https://www.bing.com/financeapi/forcetrigger?t=aay9k2&amp;q=XTSE%3aFNV&amp;form=skydnc</v>
    <v>Learn more on Bing</v>
  </rv>
  <rv s="1">
    <v>en-US</v>
    <v>aay9k2</v>
    <v>268435456</v>
    <v>268435457</v>
    <v>1</v>
    <v>Powered by Refinitiv</v>
    <v>0</v>
    <v>Franco-Nevada Corp (XTSE:FNV)</v>
    <v>2</v>
    <v>3</v>
    <v>Finance</v>
    <v>4</v>
    <v>171.48</v>
    <v>93.24</v>
    <v>0.3987</v>
    <v>2.4900000000000002</v>
    <v>1.4735E-2</v>
    <v>CAD</v>
    <v>Franco-Nevada Corporation (Franco-Nevada) is a gold-focused royalty and stream company. The Company owns a portfolio of royalty, stream and working interests, covering properties at various stages, from production to early exploration, in Latin America, United States, Canada, Australia and Africa. The Company is engaged in the management and acquisition of royalties, streams and working interests in the mining and energy sectors. Its properties in Latin America include Cobre Panama, Candelaria, Antapaccay, Guadalupe-Palmarejo, Salares Norte and Cerro San Pedro. Its properties in Canada include Sudbury, Detour Lake, Golden Highway, Hemlo, Canadian Malartic and Brucejack. Its properties in the United States include Goldstrike, Marigold, EaglePicher, Sandman, Castle Mountain, Hollister and Bald Mountain.</v>
    <v>38</v>
    <v>Toronto Stock Exchange</v>
    <v>XTSE</v>
    <v>XTSE</v>
    <v>199 Bay Street, Suite 2000, Commerce Court West, TORONTO, ON, M5L 1G9 CA</v>
    <v>177.45</v>
    <v>Metals &amp; Mining</v>
    <v>Stock</v>
    <v>43935.847025462965</v>
    <v>3</v>
    <v>167.44</v>
    <v>31893980000</v>
    <v>Franco-Nevada Corp</v>
    <v>Franco-Nevada Corp</v>
    <v>173.01</v>
    <v>72.22</v>
    <v>168.99</v>
    <v>171.48</v>
    <v>189411700</v>
    <v>FNV</v>
    <v>Franco-Nevada Corp (XTSE:FNV)</v>
    <v>864675</v>
    <v>2008</v>
  </rv>
  <rv s="2">
    <v>4</v>
  </rv>
  <rv s="0">
    <v>https://creativecommons.org/licenses/by-sa/3.0</v>
    <v>CC BY-SA 3.0</v>
  </rv>
  <rv s="0">
    <v>http://fr.wikipedia.org/wiki/Iamgold</v>
    <v>Wikipedia</v>
  </rv>
  <rv s="3">
    <v>6</v>
    <v>7</v>
  </rv>
  <rv s="4">
    <v>https://www.bing.com/th?id=AMMS_cef1d12d56c4a1dcbeca74d85275d382&amp;qlt=95</v>
    <v>8</v>
    <v>https://www.bing.com/images/search?form=xlimg&amp;q=iamgold</v>
    <v>Image of Iamgold Corp</v>
  </rv>
  <rv s="0">
    <v>https://www.bing.com/financeapi/forcetrigger?t=aayw3m&amp;q=XTSE%3aIMG&amp;form=skydnc</v>
    <v>Learn more on Bing</v>
  </rv>
  <rv s="5">
    <v>en-US</v>
    <v>aayw3m</v>
    <v>268435456</v>
    <v>268435457</v>
    <v>1</v>
    <v>Powered by Refinitiv</v>
    <v>5</v>
    <v>Iamgold Corp (XTSE:IMG)</v>
    <v>7</v>
    <v>8</v>
    <v>Finance</v>
    <v>4</v>
    <v>5.55</v>
    <v>2</v>
    <v>0.88660000000000005</v>
    <v>0</v>
    <v>0</v>
    <v>CAD</v>
    <v>Iamgold Corp is a Canada-based gold mining company. The Company's portfolio of operating gold mines, includes The Rosebel gold mine, Essakane Gold Mine, Burkina Faso, Westwood Gold MinenCanada, Sadiola Gold Mine Mali and Yatela Gold Mine Mali. The Rosebel gold mine is located in the Brokopondo district in north eastern Suriname, South America; The Essakane project is located in north-eastern Burkina Faso, West Africa; The Westwood Project is located on the Doyon property, 2.5 kilometers east of the former Doyon Gold Mine in the Bousquet Township, approximately 40 kilometers east of Rouyn-Noranda and 80 kilometers west of Val dOr in southwestern Quebec, Canada. The Sadiola Gold Mine is located in southwest Mali, West Africa near the Senegal Mali border, approximately 70 kilometers south of the town of Kayes, the regional capital. The Yatela Gold Mine is located 25 kilometers north of the Sadiola Gold Mine in southwest Mali, West Africa near the Senegal-Mali border.</v>
    <v>4832</v>
    <v>Toronto Stock Exchange</v>
    <v>XTSE</v>
    <v>XTSE</v>
    <v>401 Bay St Suite 3200, TORONTO, ON, M5H 2Y4 CA</v>
    <v>4.6900000000000004</v>
    <v>9</v>
    <v>Metals &amp; Mining</v>
    <v>Stock</v>
    <v>43935.833333333336</v>
    <v>10</v>
    <v>4.16</v>
    <v>2010328000</v>
    <v>Iamgold Corp</v>
    <v>Iamgold Corp</v>
    <v>4.3499999999999996</v>
    <v>59.03</v>
    <v>4.29</v>
    <v>4.29</v>
    <v>470293200</v>
    <v>IMG</v>
    <v>Iamgold Corp (XTSE:IMG)</v>
    <v>4095836</v>
    <v>2017</v>
  </rv>
  <rv s="2">
    <v>11</v>
  </rv>
  <rv s="0">
    <v>https://www.bing.com/financeapi/forcetrigger?t=ab1atc&amp;q=XTSE%3aSSRM&amp;form=skydnc</v>
    <v>Learn more on Bing</v>
  </rv>
  <rv s="1">
    <v>en-US</v>
    <v>ab1atc</v>
    <v>268435456</v>
    <v>268435457</v>
    <v>1</v>
    <v>Powered by Refinitiv</v>
    <v>0</v>
    <v>SSR Mining Inc (XTSE:SSRM)</v>
    <v>2</v>
    <v>3</v>
    <v>Finance</v>
    <v>4</v>
    <v>25.57</v>
    <v>12.12</v>
    <v>0.64910000000000001</v>
    <v>-0.42</v>
    <v>-1.9133999999999998E-2</v>
    <v>CAD</v>
    <v>SSR Mining Inc, formerly Silver Standard Resources Inc, is a Canada-based resource company. The Company is engaged in the operation, acquisition, exploration and development of precious metal resource properties located in the Americas. The Company's segments include Pirquitas mine, Marigold mine, Seabee Gold Operation, and Exploration and evaluation properties. The Company has three producing mines and a portfolio of silver resource dominant projects located throughout the Americas. The Company is focused on silver production from the Pirquitas mine in Argentina and gold production from the Marigold mine in Nevada, the United States. The Company's other projects include Seabee Gold Operation in Saskatchewan, Canada and Pirquitas mine in Jujuy, Argentina. The Marigold mine produced approximately 205,116 ounces of gold. The Seabee Gold Operation produced approximately 77,640 ounces of gold. The Pirquitas mine produced approximately 10.4 million ounces of silver.</v>
    <v>1359</v>
    <v>Toronto Stock Exchange</v>
    <v>XTSE</v>
    <v>XTSE</v>
    <v>1055 Dunsmuir Street Suite 800, PO Box 49088 Stn Bentall Centre, VANCOUVER, BC, V7X 1G4 CA</v>
    <v>23.25</v>
    <v>Metals &amp; Mining</v>
    <v>Stock</v>
    <v>43935.833333333336</v>
    <v>13</v>
    <v>21.03</v>
    <v>1932426000</v>
    <v>SSR Mining Inc</v>
    <v>SSR Mining Inc</v>
    <v>22.42</v>
    <v>35.6</v>
    <v>21.95</v>
    <v>21.53</v>
    <v>123084400</v>
    <v>SSRM</v>
    <v>SSR Mining Inc (XTSE:SSRM)</v>
    <v>680140</v>
    <v>1946</v>
  </rv>
  <rv s="2">
    <v>14</v>
  </rv>
  <rv s="0">
    <v>https://www.bing.com/financeapi/forcetrigger?t=aaxfz2&amp;q=XTSE%3aCG&amp;form=skydnc</v>
    <v>Learn more on Bing</v>
  </rv>
  <rv s="1">
    <v>en-US</v>
    <v>aaxfz2</v>
    <v>268435456</v>
    <v>268435457</v>
    <v>1</v>
    <v>Powered by Refinitiv</v>
    <v>0</v>
    <v>Centerra Gold Inc (XTSE:CG)</v>
    <v>2</v>
    <v>3</v>
    <v>Finance</v>
    <v>4</v>
    <v>13</v>
    <v>5.52</v>
    <v>0.34420000000000001</v>
    <v>0</v>
    <v>0</v>
    <v>CAD</v>
    <v>Centerra Gold Inc. is a Canada-based gold mining company engaged in operating, developing, acquiring and exploring gold properties in North America, Asia and other markets across the world. The Company’s Kyrgyz Republic segment includes the operations of the Kumtor Gold Project. Its Turkish segment represents the development of the oksut Project. Its North America Gold Copper segment represents the operations of the Mount Milligan Mine. The Company’s North America Molybdenum segment includes the operations of the Langeloth processing facility and care and maintenance activities of the Endako and Thompson Creek Mines. The Company’s Corporate and other segment includes the Greenstone Gold Property, the Kemess Project and other exploration projects. The Company’s Kemess Project is a brownfield project in northern British Columbia, Canada.</v>
    <v>3650</v>
    <v>Toronto Stock Exchange</v>
    <v>XTSE</v>
    <v>XTSE</v>
    <v>1 University Ave Suite 1500, TORONTO, ON, M5J 2P1 CA</v>
    <v>10.62</v>
    <v>Metals &amp; Mining</v>
    <v>Stock</v>
    <v>43935.833333333336</v>
    <v>16</v>
    <v>9.56</v>
    <v>2859073000</v>
    <v>Centerra Gold Inc</v>
    <v>Centerra Gold Inc</v>
    <v>9.94</v>
    <v>15.99</v>
    <v>9.77</v>
    <v>9.77</v>
    <v>293690500</v>
    <v>CG</v>
    <v>Centerra Gold Inc (XTSE:CG)</v>
    <v>1473443</v>
    <v>2002</v>
  </rv>
  <rv s="2">
    <v>17</v>
  </rv>
  <rv s="0">
    <v>https://www.bing.com/financeapi/forcetrigger?t=a1n2hw&amp;q=XNYS%3aAGI&amp;form=skydnc</v>
    <v>Learn more on Bing</v>
  </rv>
  <rv s="6">
    <v>en-US</v>
    <v>a1n2hw</v>
    <v>268435456</v>
    <v>268435457</v>
    <v>1</v>
    <v>Powered by Refinitiv</v>
    <v>9</v>
    <v>Alamos Gold Inc (XNYS:AGI)</v>
    <v>2</v>
    <v>10</v>
    <v>Finance</v>
    <v>11</v>
    <v>7.7750000000000004</v>
    <v>3.34</v>
    <v>1.0486</v>
    <v>-0.14000000000000001</v>
    <v>-2.0202000000000001E-2</v>
    <v>USD</v>
    <v>Alamos Gold Inc. is a Canada-based intermediate gold producer. The Company operates approximately four mines in North America, including the Young-Davidson and Island Gold Mines in northern Ontario, Canada, and the Mulatos and El Chanate Mines in Sonora, Mexico. The Young-Davidson gold mine is located near the town of Matachewan, approximately 60 kilometers (km) west of Kirkland Lake in Northern Ontario, within the southwestern part of the Abitibi Greenstone Belt. The Island Gold Mine is located approximately 83 km northeast of Wawa, Ontario. The Mulatos Mine is located within the Salamandra Concessions in the Sierra Madre Occidental mountain range in the east-central portion of the State of Sonora, Mexico. El Chanate is located in northern Mexico in the northwest corner of the State of Sonora. The mine site is approximately 37 km northeast of Caborca, 280km northwest of Hermosillo, 150km southeast of Sonoyta, and 170km southwest of Tucson, Arizona.</v>
    <v>1716</v>
    <v>New York Stock Exchange</v>
    <v>XNYS</v>
    <v>XNYS</v>
    <v>181 Bay St Suite 3910, TORONTO, ON, M5J 2T3 CA</v>
    <v>7.6</v>
    <v>Metals &amp; Mining</v>
    <v>Stock</v>
    <v>43935.95113114531</v>
    <v>19</v>
    <v>6.63</v>
    <v>3750355000</v>
    <v>Alamos Gold Inc</v>
    <v>Alamos Gold Inc</v>
    <v>7.08</v>
    <v>27.8324</v>
    <v>6.93</v>
    <v>6.79</v>
    <v>391252000</v>
    <v>AGI</v>
    <v>Alamos Gold Inc (XNYS:AGI)</v>
    <v>5215829</v>
    <v>4372914</v>
    <v>2003</v>
  </rv>
  <rv s="2">
    <v>20</v>
  </rv>
  <rv s="0">
    <v>http://en.wikipedia.org/wiki/Public_domain</v>
    <v>Public domain</v>
  </rv>
  <rv s="0">
    <v>http://fr.wikipedia.org/wiki/Kinross_Gold</v>
    <v>Wikipedia</v>
  </rv>
  <rv s="3">
    <v>22</v>
    <v>23</v>
  </rv>
  <rv s="4">
    <v>https://www.bing.com/th?id=AMMS_c861a44fe4a515d0d91629dcd158060d&amp;qlt=95</v>
    <v>24</v>
    <v>https://www.bing.com/images/search?form=xlimg&amp;q=kinross+gold</v>
    <v>Image of Kinross Gold Corp</v>
  </rv>
  <rv s="0">
    <v>https://www.bing.com/financeapi/forcetrigger?t=aayym7&amp;q=XTSE%3aK&amp;form=skydnc</v>
    <v>Learn more on Bing</v>
  </rv>
  <rv s="7">
    <v>en-US</v>
    <v>aayym7</v>
    <v>268435456</v>
    <v>268435457</v>
    <v>1</v>
    <v>Powered by Refinitiv</v>
    <v>12</v>
    <v>Kinross Gold Corp (XTSE:K)</v>
    <v>7</v>
    <v>13</v>
    <v>Finance</v>
    <v>4</v>
    <v>8.8000000000000007</v>
    <v>4</v>
    <v>1.0965</v>
    <v>-0.17</v>
    <v>-1.9608E-2</v>
    <v>CAD</v>
    <v xml:space="preserve">Kinross Gold Corporation is a gold mining company. The Company is engaged in gold mining and related activities, including exploration and acquisition of gold-bearing properties, the extraction and processing of gold-containing ore, and reclamation of gold mining properties. The Company's segments include Fort Knox, Round Mountain, Bald Mountain, Paracatu, Kupol, Maricunga, Tasiast and Chirano. Fort Knox is an open-pit gold mine located in Fairbanks, Alaska. Round Mountain open-pit mine is located in Nye County, Nevada. Bald Mountain open-pit mine is located in Nevada. The Company’s gold production and exploration activities are carried out principally in Canada, the United States, the Russian Federation, Brazil, Chile, Ghana and Mauritania. Gold is produced in the form of dore, which is shipped to refineries for final processing. Kinross also produces and sells a quantity of silver. </v>
    <v>9135</v>
    <v>Toronto Stock Exchange</v>
    <v>XTSE</v>
    <v>XTSE</v>
    <v>25 York St 17th Floor, TORONTO, ON, M5J 2V5 CA</v>
    <v>9.1999999999999993</v>
    <v>25</v>
    <v>Metals &amp; Mining</v>
    <v>Stock</v>
    <v>43935.833333333336</v>
    <v>26</v>
    <v>8.2899999999999991</v>
    <v>10860910000</v>
    <v>Kinross Gold Corp</v>
    <v>Kinross Gold Corp</v>
    <v>8.76</v>
    <v>11.51</v>
    <v>8.67</v>
    <v>8.5</v>
    <v>1257206000</v>
    <v>K</v>
    <v>Kinross Gold Corp (XTSE:K)</v>
    <v>9603543</v>
  </rv>
  <rv s="2">
    <v>27</v>
  </rv>
  <rv s="0">
    <v>https://www.bing.com/financeapi/forcetrigger?t=aawpa2&amp;q=XTSE%3aABX&amp;form=skydnc</v>
    <v>Learn more on Bing</v>
  </rv>
  <rv s="1">
    <v>en-US</v>
    <v>aawpa2</v>
    <v>268435456</v>
    <v>268435457</v>
    <v>1</v>
    <v>Powered by Refinitiv</v>
    <v>0</v>
    <v>Barrick Gold Corp (XTSE:ABX)</v>
    <v>2</v>
    <v>3</v>
    <v>Finance</v>
    <v>4</v>
    <v>34.49</v>
    <v>15.72</v>
    <v>0.17610000000000001</v>
    <v>0.21</v>
    <v>6.2150000000000009E-3</v>
    <v>CAD</v>
    <v>Barrick Gold Corp is a gold mining company. The Company is principally engaged in the production and sale of gold and copper, as well as related activities, such as exploration and mine development. The Company's segments include Barrick Nevada, Golden Sunlight, Hemlo, Jabal Sayid, Lagunas Norte, Lumwana, Porgera, Pueblo Viejo, Turquoise Ridge, Veladero and Zaldvar. Pueblo Viejo, Lagunas Norte, Veladero and Turquoise Ridge are its individual gold mines. The Company, through its subsidiary Acacia, owns gold mines and exploration properties in Africa. Its Porgera is a gold mine. Zaldivar and Lumwana are copper mines. The Pascua-Lama project is located on the border between Chile and Argentina. The Company owns a number of producing gold mines, which are located in Canada, the United States, Peru, Argentina, Australia and the Dominican Republic.</v>
    <v>22100</v>
    <v>Toronto Stock Exchange</v>
    <v>XTSE</v>
    <v>XTSE</v>
    <v>Canada Trust Tower, 161 Bay St Suite 3700, TORONTO, ON, M5J 2S1 CA</v>
    <v>34.74</v>
    <v>Metals &amp; Mining</v>
    <v>Stock</v>
    <v>43935.833333333336</v>
    <v>29</v>
    <v>33.18</v>
    <v>59864490000</v>
    <v>Barrick Gold Corp</v>
    <v>Barrick Gold Corp</v>
    <v>33.86</v>
    <v>11.63</v>
    <v>33.79</v>
    <v>34</v>
    <v>1778035000</v>
    <v>ABX</v>
    <v>Barrick Gold Corp (XTSE:ABX)</v>
    <v>8285295</v>
    <v>2018</v>
  </rv>
  <rv s="2">
    <v>30</v>
  </rv>
  <rv s="0">
    <v>https://www.bing.com/financeapi/forcetrigger?t=aaypsm&amp;q=XTSE%3aHRT&amp;form=skydnc</v>
    <v>Learn more on Bing</v>
  </rv>
  <rv s="8">
    <v>en-US</v>
    <v>aaypsm</v>
    <v>268435456</v>
    <v>268435457</v>
    <v>0</v>
    <v>Powered by Refinitiv</v>
    <v>14</v>
    <v>Harte Gold Corp (XTSE:HRT)</v>
    <v>2</v>
    <v>15</v>
    <v>Finance</v>
    <v>4</v>
    <v>0.35</v>
    <v>7.4999999999999997E-2</v>
    <v>1.7733000000000001</v>
    <v>0</v>
    <v>0</v>
    <v>CAD</v>
    <v xml:space="preserve">Harte Gold Corp is a Canada-based company engaged in the acquisition, exploration and development of mineral resource properties with a focus on gold properties located in the Province of Ontario. It has interests in gold exploration projects, including Sugar Zone Property, which is located approximately 80 kilometers east of the Hemlo area gold mines and northeast of the town of White River, and the Stoughton-Abitibi Property, which is located over 110 kilometers east of Timmins and approximately 50 kilometers north-east of Kirkland Lake. Its exploration activities are focused on the Sugar Zone Property, which comprises approximately 83.850 hectares and covers an entire greenstone belt. The Company has conducted various diamond drill and other exploration programs on its properties. </v>
    <v>92</v>
    <v>Toronto Stock Exchange</v>
    <v>XTSE</v>
    <v>XTSE</v>
    <v>8 King St E Suite 1700, TORONTO, ON, M5C 1B5 CA</v>
    <v>0.125</v>
    <v>Metals &amp; Mining</v>
    <v>Stock</v>
    <v>43935.830057870371</v>
    <v>32</v>
    <v>0.115</v>
    <v>97313830</v>
    <v>Harte Gold Corp</v>
    <v>Harte Gold Corp</v>
    <v>0.12</v>
    <v>0.115</v>
    <v>0.115</v>
    <v>846207200</v>
    <v>HRT</v>
    <v>Harte Gold Corp (XTSE:HRT)</v>
    <v>559648</v>
    <v>1982</v>
  </rv>
  <rv s="2">
    <v>33</v>
  </rv>
  <rv s="0">
    <v>https://www.bing.com/financeapi/forcetrigger?t=ab1ryc&amp;q=XTSE%3aWDO&amp;form=skydnc</v>
    <v>Learn more on Bing</v>
  </rv>
  <rv s="1">
    <v>en-US</v>
    <v>ab1ryc</v>
    <v>268435456</v>
    <v>268435457</v>
    <v>0</v>
    <v>Powered by Refinitiv</v>
    <v>0</v>
    <v>Wesdome Gold Mines Ltd (XTSE:WDO)</v>
    <v>2</v>
    <v>16</v>
    <v>Finance</v>
    <v>4</v>
    <v>11.06</v>
    <v>3.96</v>
    <v>0.67520000000000002</v>
    <v>-0.26</v>
    <v>-2.6612E-2</v>
    <v>CAD</v>
    <v>Wesdome Gold Mines Ltd. is a gold producer engaged in mining and related activities including exploration, extraction, processing and reclamation. The Company’s principal assets include the Eagle River Mine, the Mishi Mine and the Eagle River Mill located near Wawa, Ontario, together called the Eagle River Complex, the Moss Lake property in Thunder Bay, Ontario, and the Kiena Mining and Milling Complex (Kiena Complex) and exploration properties located in Val D’Or, Quebec. Eagle River Complex consist of two claim groups totaling over 11,000 hectares, the Eagle River Underground Mine, the Mishi Open Pit Mine and common mineral processing facilities located adjacent to the Mishi Open Pit and permitted at 1,200 tonnes per day. Its Val D’Or land position consists of a contiguous block of mining claims and concessions covering in excess of approximately 7,500 hectares.</v>
    <v>301</v>
    <v>Toronto Stock Exchange</v>
    <v>XTSE</v>
    <v>XTSE</v>
    <v>8 King St E Suite 1305, TORONTO, ON, M5C 1B5 CA</v>
    <v>10.33</v>
    <v>Metals &amp; Mining</v>
    <v>Stock</v>
    <v>43935.847025462965</v>
    <v>35</v>
    <v>9.19</v>
    <v>1348186000</v>
    <v>Wesdome Gold Mines Ltd</v>
    <v>Wesdome Gold Mines Ltd</v>
    <v>9.85</v>
    <v>32.82</v>
    <v>9.77</v>
    <v>9.51</v>
    <v>137992400</v>
    <v>WDO</v>
    <v>Wesdome Gold Mines Ltd (XTSE:WDO)</v>
    <v>1027871</v>
    <v>1991</v>
  </rv>
  <rv s="2">
    <v>36</v>
  </rv>
  <rv s="0">
    <v>https://www.bing.com/financeapi/forcetrigger?t=ab1gxm&amp;q=XTSE%3aTMR&amp;form=skydnc</v>
    <v>Learn more on Bing</v>
  </rv>
  <rv s="9">
    <v>en-US</v>
    <v>ab1gxm</v>
    <v>268435456</v>
    <v>268435457</v>
    <v>0</v>
    <v>Powered by Refinitiv</v>
    <v>17</v>
    <v>TMAC Resources Inc (XTSE:TMR)</v>
    <v>2</v>
    <v>18</v>
    <v>Finance</v>
    <v>4</v>
    <v>6.95</v>
    <v>0.44</v>
    <v>2.9289999999999998</v>
    <v>0.19</v>
    <v>0.17272699999999999</v>
    <v>CAD</v>
    <v>TMAC Resources, Inc. is a Canada-based gold producer. The Company is involved in the exploration, evaluation and development of the Hope Bay mineral property in the Kitikmeot Region of Nunavut, Canada (Hope Bay Project). Approximately 1,100 square kilometer Hope Bay Project gold deposit has approximately 4.5 million ounces of gold at an average grade of approximately 9.2 grams per ton gold (g/t Au), Inferred Mineral Resources totaling approximately 1.4 million ounces of gold at an average grade of 7.4 g/t Au and proven and probable mineral reserves totaling approximately 3.5 million ounces of gold at an average grade of 7.7 g/t Au.</v>
    <v>254</v>
    <v>Toronto Stock Exchange</v>
    <v>XTSE</v>
    <v>XTSE</v>
    <v>95 Wellington St W Suite 1010, P.O. Box 44, TORONTO, ON, M5J 2N7 CA</v>
    <v>1.37</v>
    <v>Metals &amp; Mining</v>
    <v>Stock</v>
    <v>43935.833333333336</v>
    <v>38</v>
    <v>1.1399999999999999</v>
    <v>126838600</v>
    <v>TMAC Resources Inc</v>
    <v>TMAC Resources Inc</v>
    <v>1.19</v>
    <v>55.01</v>
    <v>1.1000000000000001</v>
    <v>1.29</v>
    <v>115307800</v>
    <v>TMR</v>
    <v>TMAC Resources Inc (XTSE:TMR)</v>
    <v>1271742</v>
  </rv>
  <rv s="2">
    <v>39</v>
  </rv>
  <rv s="0">
    <v>https://www.bing.com/financeapi/forcetrigger?t=ab4b52&amp;q=XTSX%3aKNT&amp;form=skydnc</v>
    <v>Learn more on Bing</v>
  </rv>
  <rv s="10">
    <v>en-US</v>
    <v>ab4b52</v>
    <v>268435456</v>
    <v>268435457</v>
    <v>0</v>
    <v>Powered by Refinitiv</v>
    <v>19</v>
    <v>K92 Mining Inc (XTSX:KNT)</v>
    <v>2</v>
    <v>20</v>
    <v>Finance</v>
    <v>4</v>
    <v>4.4649999999999999</v>
    <v>1.27</v>
    <v>1.3695999999999999</v>
    <v>-0.19</v>
    <v>-4.7030000000000002E-2</v>
    <v>CAD</v>
    <v>K92 Mining Inc., formerly Otterburn Resources Corp., is engaged in the exploration and development of mineral deposits in Papua New Guinea, specifically the Kainantu Gold Mine that includes Irumafima and Kora deposits. The Company's Kainantu property covers a total area of approximately 410 square kilometers and is located in the Eastern Highlands Province of Papua New Guinea, approximately 180 kilometers west-northwest of Lae. The Kainantu property comprises an exploration license EL1341; a mining license ML150; two mining easements ME80 and ME81, and a license for mining purposes LMP78. The Kora mine is located within ML150 and the main Kainantu exploration camp and processing plant are located within LMP78, which is located within EL693. The Company's EL 1341 covers a total area of over 150 square kilometers and is located to the south of ML150. The ML150 includes Judd, Karempe and other unnamed mineralized lodes. Judd is located approximately 200 meters east of Koraon ML150.</v>
    <v>TSX Venture Exchange</v>
    <v>XTSX</v>
    <v>XTSX</v>
    <v>488-1090 Georgia St W, VANCOUVER, BC, V6E 3V7 CA</v>
    <v>4.2699999999999996</v>
    <v>Metals &amp; Mining</v>
    <v>Stock</v>
    <v>43935.833333333336</v>
    <v>41</v>
    <v>3.7</v>
    <v>857616000</v>
    <v>K92 Mining Inc</v>
    <v>K92 Mining Inc</v>
    <v>4.13</v>
    <v>18.649999999999999</v>
    <v>4.04</v>
    <v>3.85</v>
    <v>213044700</v>
    <v>KNT</v>
    <v>K92 Mining Inc (XTSX:KNT)</v>
    <v>2298302</v>
    <v>2010</v>
  </rv>
  <rv s="2">
    <v>42</v>
  </rv>
  <rv s="0">
    <v>https://www.bing.com/financeapi/forcetrigger?t=aazayc&amp;q=XTSE%3aMUX&amp;form=skydnc</v>
    <v>Learn more on Bing</v>
  </rv>
  <rv s="1">
    <v>en-US</v>
    <v>aazayc</v>
    <v>268435456</v>
    <v>268435457</v>
    <v>0</v>
    <v>Powered by Refinitiv</v>
    <v>0</v>
    <v>McEwen Mining Inc (XTSE:MUX)</v>
    <v>2</v>
    <v>3</v>
    <v>Finance</v>
    <v>4</v>
    <v>2.84</v>
    <v>0.76</v>
    <v>0.48820000000000002</v>
    <v>0.11</v>
    <v>8.3969000000000002E-2</v>
    <v>CAD</v>
    <v>McEwen Mining Inc. is a mining and minerals production and exploration company. The Company is focused on precious and base metals in Argentina, Mexico and the United States. The Company's segments include Mexico, Minera Santa Cruz S.A. (MSC), Nevada and Los Azules. The Mexico Operations segment includes properties, such as El Gallo 1 mine and the El Gallo 2 project. The MSC segment includes properties, such as the San Jose mine and other concessions located around the mine. The Company's properties in Nevada segment include Gold Bar project and exploration properties. The Gold Bar project is a proposed mine project. The Los Azules segment includes various properties, such as Los Azules project, Chonchones project, Laganoso project, La Cerrada project and Other Argentina properties. The Los Azules copper project is an advanced-stage porphyry copper exploration project located in the cordilleran region of San Juan Province, Argentina near the border with Chile.</v>
    <v>448</v>
    <v>Toronto Stock Exchange</v>
    <v>XTSE</v>
    <v>XTSE</v>
    <v>150 King St W Suite 2800 - P.O. Box 24, TORONTO, ON, M5H 1J9 CA</v>
    <v>1.51</v>
    <v>Metals &amp; Mining</v>
    <v>Stock</v>
    <v>43935.832986111112</v>
    <v>44</v>
    <v>1.35</v>
    <v>378416600</v>
    <v>McEwen Mining Inc</v>
    <v>McEwen Mining Inc</v>
    <v>1.37</v>
    <v>99.58</v>
    <v>1.31</v>
    <v>1.42</v>
    <v>400398400</v>
    <v>MUX</v>
    <v>McEwen Mining Inc (XTSE:MUX)</v>
    <v>902717</v>
    <v>1979</v>
  </rv>
  <rv s="2">
    <v>45</v>
  </rv>
  <rv s="0">
    <v>https://www.bing.com/financeapi/forcetrigger?t=ab64bh&amp;q=XTSE%3aVGCX&amp;form=skydnc</v>
    <v>Learn more on Bing</v>
  </rv>
  <rv s="11">
    <v>en-US</v>
    <v>ab64bh</v>
    <v>268435456</v>
    <v>268435457</v>
    <v>0</v>
    <v>Powered by Refinitiv</v>
    <v>21</v>
    <v>Victoria Gold Corp (XTSE:VGCX)</v>
    <v>2</v>
    <v>22</v>
    <v>Finance</v>
    <v>4</v>
    <v>9.9</v>
    <v>4.0199999999999996</v>
    <v>1.4756</v>
    <v>-0.08</v>
    <v>-9.9380000000000007E-3</v>
    <v>CAD</v>
    <v>Victoria Gold Corp. is an exploration and development-stage company. The Company is engaged in the acquisition, evaluation, exploration and development of mineral properties. The Company's segments include corporate, Canada and the United States. The Company owns Dublin Gulch property, which hosts the Eagle Gold Deposit. Dublin Gulch is located in central Yukon Territory, Canada, approximately 370 kilometers north of the capital city of Whitehorse and approximately 80 kilometers from the town of Mayo. The property covers an area of approximately 550 square kilometers. The Dublin Gulch property also includes the Wolf Tungsten Deposit, the Potato Hills Trend, including the Olive, Shamrock and Nugget targets, NND Cat B land and other targets. The Company's other properties include interests in Donjek, Aurex, Canalask, and Clear Creek in Yukon Territory and Island Mountain in Nevada. The Company has not generated any revenues from its properties.</v>
    <v>Toronto Stock Exchange</v>
    <v>XTSE</v>
    <v>XTSE</v>
    <v>80 Richmond St W Suite 303, TORONTO, ON, M5H 2A4 CA</v>
    <v>8.1999999999999993</v>
    <v>Metals &amp; Mining</v>
    <v>Stock</v>
    <v>43935.833321759259</v>
    <v>47</v>
    <v>7.8</v>
    <v>469943900</v>
    <v>Victoria Gold Corp</v>
    <v>Victoria Gold Corp</v>
    <v>8</v>
    <v>8.0500000000000007</v>
    <v>7.97</v>
    <v>58378130</v>
    <v>VGCX</v>
    <v>Victoria Gold Corp (XTSE:VGCX)</v>
    <v>140550</v>
    <v>1981</v>
  </rv>
  <rv s="2">
    <v>48</v>
  </rv>
  <rv s="0">
    <v>https://www.bing.com/financeapi/forcetrigger?t=aaxu1h&amp;q=XTSE%3aDPM&amp;form=skydnc</v>
    <v>Learn more on Bing</v>
  </rv>
  <rv s="1">
    <v>en-US</v>
    <v>aaxu1h</v>
    <v>268435456</v>
    <v>268435457</v>
    <v>0</v>
    <v>Powered by Refinitiv</v>
    <v>0</v>
    <v>Dundee Precious Metals Inc (XTSE:DPM)</v>
    <v>2</v>
    <v>3</v>
    <v>Finance</v>
    <v>4</v>
    <v>6.66</v>
    <v>3.2</v>
    <v>1.8499000000000001</v>
    <v>-0.13</v>
    <v>-2.1242E-2</v>
    <v>CAD</v>
    <v>Dundee Precious Metals Inc. is a gold mining company. The Company, through its subsidiaries, is engaged in the acquisition, exploration, development, mining and processing of precious metals. Its segments include Dundee Precious Metals Chelopech EAD (Chelopech) in Bulgaria, Dundee Precious Metals Tsumeb (Proprietary) Limited (Tsumeb) in Namibia, and Corporate and Other. The Corporate and Other segment includes exploration and development projects. Its subsidiaries include Chelopech, which owns and operates a gold, copper and silver mine located east of Sofia, Bulgaria; Dundee Precious Metals Krumovgrad EAD (Krumovgrad), which is engaged in the construction of a gold mine located in south eastern Bulgaria; Tsumeb, which owns and operates a custom smelter located in Tsumeb, Namibia, and Avala Resources Ltd., which is focused on the exploration and development of the Lenovac project, the Timok gold project, the Tulare copper and gold project and other early-stage projects in Serbia.</v>
    <v>2159</v>
    <v>Toronto Stock Exchange</v>
    <v>XTSE</v>
    <v>XTSE</v>
    <v>1 Adelaide St E Suite 500, TORONTO, ON, M5C 2V9 CA</v>
    <v>6.74</v>
    <v>Metals &amp; Mining</v>
    <v>Stock</v>
    <v>43935.846458333333</v>
    <v>50</v>
    <v>5.88</v>
    <v>1104887000</v>
    <v>Dundee Precious Metals Inc</v>
    <v>Dundee Precious Metals Inc</v>
    <v>6.13</v>
    <v>35.9</v>
    <v>6.12</v>
    <v>5.99</v>
    <v>180537000</v>
    <v>DPM</v>
    <v>Dundee Precious Metals Inc (XTSE:DPM)</v>
    <v>907266</v>
    <v>1983</v>
  </rv>
  <rv s="2">
    <v>51</v>
  </rv>
  <rv s="0">
    <v>https://www.bing.com/financeapi/forcetrigger?t=aaz3xm&amp;q=XTSE%3aLUG&amp;form=skydnc</v>
    <v>Learn more on Bing</v>
  </rv>
  <rv s="11">
    <v>en-US</v>
    <v>aaz3xm</v>
    <v>268435456</v>
    <v>268435457</v>
    <v>0</v>
    <v>Powered by Refinitiv</v>
    <v>21</v>
    <v>Lundin Gold Inc (XTSE:LUG)</v>
    <v>2</v>
    <v>23</v>
    <v>Finance</v>
    <v>4</v>
    <v>13.49</v>
    <v>5.0199999999999996</v>
    <v>1.0660000000000001</v>
    <v>0.68</v>
    <v>7.1354000000000001E-2</v>
    <v>CAD</v>
    <v>Lundin Gold Inc (Lundin Gold), formerly Fortress Minerals Corp, is a Canada-based gold mining company. The Company owns the Fruta del Norte Project located in southeast Ecuador, which is an undeveloped gold project. The Company's Fruta del Norte Project is located in the Cordillera del Condor region of Zamora, Chinchipe province, southeastern Ecuador. The Fruta del Norte Project consists of approximately 30 mining concessions, which cover an area of approximately 75,000 hectares located in southeastern Ecuador, in the Province of Zamora and in Morona Santiago province. The Fruta del Norte Project is consist of over three concessions and covers an area of approximately 4,660 hectares located in the Province of Zamora Chinchipe. The Company's subsidiaries include Aurelian Resources Inc, Aurelian Resources Corporation Ltd, Aurelian Ecuador S.A. and Ecoaurelian Agricola S.A. The Company's Aurelian Ecuador S.A. holds the concessions underlying the Fruta del Norte Project.</v>
    <v>Toronto Stock Exchange</v>
    <v>XTSE</v>
    <v>XTSE</v>
    <v>885 Georgia St W Suite 2000, VANCOUVER, BC, V6C 3E8 CA</v>
    <v>10.77</v>
    <v>Metals &amp; Mining</v>
    <v>Stock</v>
    <v>43935.833333333336</v>
    <v>53</v>
    <v>9.92</v>
    <v>2138190000</v>
    <v>Lundin Gold Inc</v>
    <v>Lundin Gold Inc</v>
    <v>10.039999999999999</v>
    <v>9.5299999999999994</v>
    <v>10.210000000000001</v>
    <v>224364200</v>
    <v>LUG</v>
    <v>Lundin Gold Inc (XTSE:LUG)</v>
    <v>683381</v>
    <v>2002</v>
  </rv>
  <rv s="2">
    <v>54</v>
  </rv>
  <rv s="0">
    <v>http://en.wikipedia.org/wiki/New_Gold</v>
    <v>Wikipedia</v>
  </rv>
  <rv s="3">
    <v>22</v>
    <v>56</v>
  </rv>
  <rv s="4">
    <v>https://www.bing.com/th?id=AMMS_9b8442c3729f8d236082e64ce6a3c6b2&amp;qlt=95</v>
    <v>57</v>
    <v>https://www.bing.com/images/search?form=xlimg&amp;q=new+gold</v>
    <v>Image of New Gold Inc</v>
  </rv>
  <rv s="0">
    <v>https://www.bing.com/financeapi/forcetrigger?t=aazdc7&amp;q=XTSE%3aNGD&amp;form=skydnc</v>
    <v>Learn more on Bing</v>
  </rv>
  <rv s="12">
    <v>en-US</v>
    <v>aazdc7</v>
    <v>268435456</v>
    <v>268435457</v>
    <v>0</v>
    <v>Powered by Refinitiv</v>
    <v>24</v>
    <v>New Gold Inc (XTSE:NGD)</v>
    <v>7</v>
    <v>25</v>
    <v>Finance</v>
    <v>4</v>
    <v>2.0299999999999998</v>
    <v>0.55000000000000004</v>
    <v>1.8118000000000001</v>
    <v>0.06</v>
    <v>0.06</v>
    <v>CAD</v>
    <v>New Gold Inc. is a Canada-based gold mining company. The Company owns assets in Canada and Mexico. Its assets include Rainy River, New Afton Mines and Cerro San Pedro Mine. The Rainy River Mine is situated in the Richardson Township, approximately 65 kilometers (km) northwest of Fort Frances in Northwestern Ontario. The New Afton copper-gold mine is located approximately 350 km northeast of Vancouver in the south-central interior of British Columbia. The Cerro San Pedro Mine is an open-pit gold and silver heap leach operation located in central Mexico in the state of San Luis Potosi, approximately 400 km north of Mexico City and 14 km east of the city of San Luis Potosi. The Company also owns the Blackwater Project, which is located in British Columbia, Canada, approximately 160 km southwest of Prince George.</v>
    <v>1267</v>
    <v>Toronto Stock Exchange</v>
    <v>XTSE</v>
    <v>XTSE</v>
    <v>181 BAY STREET, SUITE 3320, TORONTO, ON, M5J 2T3 CA</v>
    <v>1.18</v>
    <v>58</v>
    <v>Metals &amp; Mining</v>
    <v>Stock</v>
    <v>43935.846458333333</v>
    <v>59</v>
    <v>1</v>
    <v>673534700</v>
    <v>New Gold Inc</v>
    <v>New Gold Inc</v>
    <v>1.07</v>
    <v>1</v>
    <v>1.06</v>
    <v>675957100</v>
    <v>NGD</v>
    <v>New Gold Inc (XTSE:NGD)</v>
    <v>5015125</v>
    <v>2016</v>
  </rv>
  <rv s="2">
    <v>60</v>
  </rv>
  <rv s="0">
    <v>https://www.bing.com/financeapi/forcetrigger?t=ab19fr&amp;q=XTSE%3aSMF&amp;form=skydnc</v>
    <v>Learn more on Bing</v>
  </rv>
  <rv s="1">
    <v>en-US</v>
    <v>ab19fr</v>
    <v>268435456</v>
    <v>268435457</v>
    <v>0</v>
    <v>Powered by Refinitiv</v>
    <v>0</v>
    <v>Semafo Inc (XTSE:SMF)</v>
    <v>2</v>
    <v>3</v>
    <v>Finance</v>
    <v>4</v>
    <v>5.75</v>
    <v>1.57</v>
    <v>9.3100000000000002E-2</v>
    <v>0.01</v>
    <v>2.8249999999999998E-3</v>
    <v>CAD</v>
    <v>SEMAFO Inc. is a Canada-based mining company. Its segments include Mana, Burkina Faso; Natougou, Burkina Faso, and Other exploration. The Company, through its subsidiaries, is engaged in gold mining activities, including exploration, development and operations. Its properties include Mana project, which is located in Burkina Faso that includes the satellite Siou and Fofina deposits; Savary's Karankasso and Bantou property; Natougou advanced gold deposit, which is located approximately 320 kilometers east of Ouagadougou, and consists of a drill database of over 170 diamond, 625 multi-purpose (reverse-circulation (RC) pre-collar and core tail) and 550 RC drill holes; Banfora project, which is located approximately 200 kilometers south west of Mana, and Nabanga project, which is located approximately 250 kilometers south-east of Ouagadougou. Its subsidiaries include SEMAFO Burkina Faso S.A., Mana Mineral S.A., SEMAFO (Barbados) Ltd, Orbis Gold PTY LTD and Birimian Resources S.A.R.L.</v>
    <v>1228</v>
    <v>Toronto Stock Exchange</v>
    <v>XTSE</v>
    <v>XTSE</v>
    <v>750 Marcel Laurin Boulevard, Suite 375, SAINT-LAURENT, QC, 00000 CA</v>
    <v>3.79</v>
    <v>Metals &amp; Mining</v>
    <v>Stock</v>
    <v>43935.833333333336</v>
    <v>62</v>
    <v>3.45</v>
    <v>1179777000</v>
    <v>Semafo Inc</v>
    <v>Semafo Inc</v>
    <v>3.58</v>
    <v>17.989999999999998</v>
    <v>3.54</v>
    <v>3.55</v>
    <v>334468900</v>
    <v>SMF</v>
    <v>Semafo Inc (XTSE:SMF)</v>
    <v>3155032</v>
    <v>1994</v>
  </rv>
  <rv s="2">
    <v>63</v>
  </rv>
  <rv s="0">
    <v>https://www.bing.com/financeapi/forcetrigger?t=aazpw7&amp;q=XTSE%3aPVG&amp;form=skydnc</v>
    <v>Learn more on Bing</v>
  </rv>
  <rv s="10">
    <v>en-US</v>
    <v>aazpw7</v>
    <v>268435456</v>
    <v>268435457</v>
    <v>0</v>
    <v>Powered by Refinitiv</v>
    <v>19</v>
    <v>Pretium Resources Inc (XTSE:PVG)</v>
    <v>2</v>
    <v>20</v>
    <v>Finance</v>
    <v>4</v>
    <v>18.295000000000002</v>
    <v>6.25</v>
    <v>1.0898000000000001</v>
    <v>-0.06</v>
    <v>-5.4549999999999998E-3</v>
    <v>CAD</v>
    <v>Pretium Resources Inc. is engaged in the acquisition, exploration, development and operation of precious metal resource properties in the Americas. The Company’s assets include Brucejack mine, Snowfield Property, Bowser Claims and the Porphyry Potential Deep Drilling (PPDD) Project. The Brucejack Property is located in northwestern British Columbia, approximately 65 kilometers (km) north of Stewart and is comprised of four mining leases and six mineral claims totaling approximately 3,306 hectares in area and forms part of its total claims package that comprises over 122,000 hectares. Snowfield Property borders Brucejack Mine to the north and is comprised of one mineral claim with an area of approximately 1,217 hectares. The Bowser Property is located southeast of the Brucejack Mine and comprises 1,220 square km. The PPDD Project is a deep underground exploration program involving the testing of the extent of Brucejack-style mineralization.</v>
    <v>Toronto Stock Exchange</v>
    <v>XTSE</v>
    <v>XTSE</v>
    <v>1055 Dunsmuir Street Suite 2300, PO Box 49334 Stn Bentall Centre, VANCOUVER, BC, V7X 1L4 CA</v>
    <v>11.77</v>
    <v>Metals &amp; Mining</v>
    <v>Stock</v>
    <v>43935.833333333336</v>
    <v>65</v>
    <v>10.61</v>
    <v>2039238000</v>
    <v>Pretium Resources Inc</v>
    <v>Pretium Resources Inc</v>
    <v>11.23</v>
    <v>38.64</v>
    <v>11</v>
    <v>10.94</v>
    <v>185385300</v>
    <v>PVG</v>
    <v>Pretium Resources Inc (XTSE:PVG)</v>
    <v>1029446</v>
    <v>2010</v>
  </rv>
  <rv s="2">
    <v>66</v>
  </rv>
  <rv s="0">
    <v>https://www.bing.com/financeapi/forcetrigger?t=ab1fbh&amp;q=XTSE%3aTGZ&amp;form=skydnc</v>
    <v>Learn more on Bing</v>
  </rv>
  <rv s="1">
    <v>en-US</v>
    <v>ab1fbh</v>
    <v>268435456</v>
    <v>268435457</v>
    <v>0</v>
    <v>Powered by Refinitiv</v>
    <v>0</v>
    <v>Teranga Gold Corp (XTSE:TGZ)</v>
    <v>2</v>
    <v>3</v>
    <v>Finance</v>
    <v>4</v>
    <v>9.65</v>
    <v>2.97</v>
    <v>0.54359999999999997</v>
    <v>0.14000000000000001</v>
    <v>1.4721E-2</v>
    <v>CAD</v>
    <v>Teranga Gold Corp is a Canada-based mining company. The Company is engaged in the production, sale and exploration of gold in Senegal, West Africa. The Company owns and operates a gold mine and mill, the Sabodala Gold mine, in Senegal, West Africa. The Company is focused on the exploration and development of Sabodala gold mine, which is located approximately 650 kilometers southeast of Dakar, the capital of Senegal. The Sabodala mine license covers an area of approximately 290 square kilometers. The Company's project includes approximately nine exploration permits, which cover an area of approximately 1,000 square kilometers. The Company's mine license and land package is located on a West African Birimian greenstone belt.</v>
    <v>2300</v>
    <v>Toronto Stock Exchange</v>
    <v>XTSE</v>
    <v>XTSE</v>
    <v>77 King St W Suite 2110, TORONTO, ON, M5K 2A1 CA</v>
    <v>10.3</v>
    <v>Metals &amp; Mining</v>
    <v>Stock</v>
    <v>43935.833333333336</v>
    <v>68</v>
    <v>9.3000000000000007</v>
    <v>1587534000</v>
    <v>Teranga Gold Corp</v>
    <v>Teranga Gold Corp</v>
    <v>9.65</v>
    <v>74.02</v>
    <v>9.51</v>
    <v>9.65</v>
    <v>167533500</v>
    <v>TGZ</v>
    <v>Teranga Gold Corp (XTSE:TGZ)</v>
    <v>1637950</v>
    <v>2010</v>
  </rv>
  <rv s="2">
    <v>69</v>
  </rv>
  <rv s="1">
    <v>en-US</v>
    <v>ab1atc</v>
    <v>268435456</v>
    <v>268435457</v>
    <v>0</v>
    <v>Powered by Refinitiv</v>
    <v>0</v>
    <v>SSR Mining Inc (XTSE:SSRM)</v>
    <v>2</v>
    <v>3</v>
    <v>Finance</v>
    <v>4</v>
    <v>25.57</v>
    <v>12.12</v>
    <v>0.64910000000000001</v>
    <v>-0.42</v>
    <v>-1.9133999999999998E-2</v>
    <v>CAD</v>
    <v>SSR Mining Inc, formerly Silver Standard Resources Inc, is a Canada-based resource company. The Company is engaged in the operation, acquisition, exploration and development of precious metal resource properties located in the Americas. The Company's segments include Pirquitas mine, Marigold mine, Seabee Gold Operation, and Exploration and evaluation properties. The Company has three producing mines and a portfolio of silver resource dominant projects located throughout the Americas. The Company is focused on silver production from the Pirquitas mine in Argentina and gold production from the Marigold mine in Nevada, the United States. The Company's other projects include Seabee Gold Operation in Saskatchewan, Canada and Pirquitas mine in Jujuy, Argentina. The Marigold mine produced approximately 205,116 ounces of gold. The Seabee Gold Operation produced approximately 77,640 ounces of gold. The Pirquitas mine produced approximately 10.4 million ounces of silver.</v>
    <v>1359</v>
    <v>Toronto Stock Exchange</v>
    <v>XTSE</v>
    <v>XTSE</v>
    <v>1055 Dunsmuir Street Suite 800, PO Box 49088 Stn Bentall Centre, VANCOUVER, BC, V7X 1G4 CA</v>
    <v>23.25</v>
    <v>Metals &amp; Mining</v>
    <v>Stock</v>
    <v>43935.833333333336</v>
    <v>13</v>
    <v>21.03</v>
    <v>1932426000</v>
    <v>SSR Mining Inc</v>
    <v>SSR Mining Inc</v>
    <v>22.42</v>
    <v>35.6</v>
    <v>21.95</v>
    <v>21.53</v>
    <v>123084400</v>
    <v>SSRM</v>
    <v>SSR Mining Inc (XTSE:SSRM)</v>
    <v>680140</v>
    <v>1946</v>
  </rv>
  <rv s="2">
    <v>71</v>
  </rv>
  <rv s="6">
    <v>en-US</v>
    <v>a1n2hw</v>
    <v>268435456</v>
    <v>268435457</v>
    <v>0</v>
    <v>Powered by Refinitiv</v>
    <v>9</v>
    <v>Alamos Gold Inc (XNYS:AGI)</v>
    <v>2</v>
    <v>10</v>
    <v>Finance</v>
    <v>11</v>
    <v>7.7750000000000004</v>
    <v>3.34</v>
    <v>1.0486</v>
    <v>-0.14000000000000001</v>
    <v>-2.0202000000000001E-2</v>
    <v>USD</v>
    <v>Alamos Gold Inc. is a Canada-based intermediate gold producer. The Company operates approximately four mines in North America, including the Young-Davidson and Island Gold Mines in northern Ontario, Canada, and the Mulatos and El Chanate Mines in Sonora, Mexico. The Young-Davidson gold mine is located near the town of Matachewan, approximately 60 kilometers (km) west of Kirkland Lake in Northern Ontario, within the southwestern part of the Abitibi Greenstone Belt. The Island Gold Mine is located approximately 83 km northeast of Wawa, Ontario. The Mulatos Mine is located within the Salamandra Concessions in the Sierra Madre Occidental mountain range in the east-central portion of the State of Sonora, Mexico. El Chanate is located in northern Mexico in the northwest corner of the State of Sonora. The mine site is approximately 37 km northeast of Caborca, 280km northwest of Hermosillo, 150km southeast of Sonoyta, and 170km southwest of Tucson, Arizona.</v>
    <v>1716</v>
    <v>New York Stock Exchange</v>
    <v>XNYS</v>
    <v>XNYS</v>
    <v>181 Bay St Suite 3910, TORONTO, ON, M5J 2T3 CA</v>
    <v>7.6</v>
    <v>Metals &amp; Mining</v>
    <v>Stock</v>
    <v>43935.95113114531</v>
    <v>19</v>
    <v>6.63</v>
    <v>3750355000</v>
    <v>Alamos Gold Inc</v>
    <v>Alamos Gold Inc</v>
    <v>7.08</v>
    <v>27.8324</v>
    <v>6.93</v>
    <v>6.79</v>
    <v>391252000</v>
    <v>AGI</v>
    <v>Alamos Gold Inc (XNYS:AGI)</v>
    <v>5215829</v>
    <v>4372914</v>
    <v>2003</v>
  </rv>
  <rv s="2">
    <v>73</v>
  </rv>
  <rv s="0">
    <v>https://www.bing.com/financeapi/forcetrigger?t=ab1krw&amp;q=XTSE%3aTXG&amp;form=skydnc</v>
    <v>Learn more on Bing</v>
  </rv>
  <rv s="1">
    <v>en-US</v>
    <v>ab1krw</v>
    <v>268435456</v>
    <v>268435457</v>
    <v>0</v>
    <v>Powered by Refinitiv</v>
    <v>0</v>
    <v>Torex Gold Resources Inc (XTSE:TXG)</v>
    <v>2</v>
    <v>3</v>
    <v>Finance</v>
    <v>4</v>
    <v>22.45</v>
    <v>8.7899999999999991</v>
    <v>0.55620000000000003</v>
    <v>0.93</v>
    <v>6.1265E-2</v>
    <v>CAD</v>
    <v>Torex Gold Resources Inc. is a Canada-based resource company. The Company is engaged in the exploration, development and operation of the Morelos Gold property. The Morelos Gold Property is located in the prolific Guerrero Gold Belt in southern Mexico and consists of approximately seven mineral concessions covering a total area of over 29,000 hectares. The Company’s principal assets are the El Limon Guajes (ELG) mine (the ELG Mine) and the Media Luna project (the Media Luna Project). The ELG Mine is an open pit operation with two main pits (the El Limon and Guajes pits). The Company's Media Luna Project is an early stage development project.</v>
    <v>883</v>
    <v>Toronto Stock Exchange</v>
    <v>XTSE</v>
    <v>XTSE</v>
    <v>145 KING STREET, SUITE 1502, TORONTO, ON, M5H 1J8 CA</v>
    <v>17.25</v>
    <v>Metals &amp; Mining</v>
    <v>Stock</v>
    <v>43935.846493055556</v>
    <v>75</v>
    <v>15.77</v>
    <v>1291551000</v>
    <v>Torex Gold Resources Inc</v>
    <v>Torex Gold Resources Inc</v>
    <v>15.85</v>
    <v>14.98</v>
    <v>15.18</v>
    <v>16.11</v>
    <v>85388410</v>
    <v>TXG</v>
    <v>Torex Gold Resources Inc (XTSE:TXG)</v>
    <v>715455</v>
    <v>2010</v>
  </rv>
  <rv s="2">
    <v>76</v>
  </rv>
  <rv s="1">
    <v>en-US</v>
    <v>aaxer7</v>
    <v>268435456</v>
    <v>268435457</v>
    <v>0</v>
    <v>Powered by Refinitiv</v>
    <v>0</v>
    <v>Centamin PLC (XTSE:CEE)</v>
    <v>2</v>
    <v>3</v>
    <v>Finance</v>
    <v>4</v>
    <v>2.66</v>
    <v>1.39</v>
    <v>0.83169999999999999</v>
    <v>0.01</v>
    <v>3.846E-3</v>
    <v>CAD</v>
    <v>Centamin plc is a mineral exploration, development and mining company. The Company is engaged in the business of exploration and production of precious metals. It operates in Australia, Jersey, Egypt, Burkina Faso and Cote d'Ivoire. Its principal asset, the Sukari Gold Mine (SGM), is located in the Eastern Desert, approximately 900 kilometers from Cairo and 25 kilometers from the Red Sea. SGM is jointly owned by Pharaoh Gold Mines NL (PGM) and Egyptian Mineral Resource Authority (EMRA). It has a license holding over an area of approximately 100-kilometer trend of gold mineralization in Burkina Faso. The Company holds a tenement package over an approximately 2,200 square kilometer area in southern Burkina Faso, adjacent to the border with Cote d'Ivoire. It has seven permits in Cote d'Ivoire covering an area of over 2,330 square kilometers. Six of these are part of the Doropo Project across the border from Batie West in Burkina Faso and the other is in the west of the country.</v>
    <v>1380</v>
    <v>Toronto Stock Exchange</v>
    <v>XTSE</v>
    <v>XTSE</v>
    <v>Level 2, 2 Mulcaster Street, SAINT HELIER, JE2 3NJ JE</v>
    <v>2.66</v>
    <v>Metals &amp; Mining</v>
    <v>Stock</v>
    <v>43935.833333333336</v>
    <v>0</v>
    <v>2.5</v>
    <v>1583978000</v>
    <v>Centamin PLC</v>
    <v>Centamin PLC</v>
    <v>2.5299999999999998</v>
    <v>46.05</v>
    <v>2.6</v>
    <v>2.61</v>
    <v>1155955000</v>
    <v>CEE</v>
    <v>Centamin PLC (XTSE:CEE)</v>
    <v>218150</v>
    <v>2011</v>
  </rv>
  <rv s="2">
    <v>78</v>
  </rv>
  <rv s="0">
    <v>http://fr.wikipedia.org/wiki/Eldorado_Gold</v>
    <v>Wikipedia</v>
  </rv>
  <rv s="3">
    <v>22</v>
    <v>80</v>
  </rv>
  <rv s="4">
    <v>https://www.bing.com/th?id=AMMS_48a543f7be7387696c072fc0149afa67&amp;qlt=95</v>
    <v>81</v>
    <v>https://www.bing.com/images/search?form=xlimg&amp;q=eldorado+gold</v>
    <v>Image of Eldorado Gold Corp</v>
  </rv>
  <rv s="0">
    <v>https://www.bing.com/financeapi/forcetrigger?t=aaxy77&amp;q=XTSE%3aELD&amp;form=skydnc</v>
    <v>Learn more on Bing</v>
  </rv>
  <rv s="5">
    <v>en-US</v>
    <v>aaxy77</v>
    <v>268435456</v>
    <v>268435457</v>
    <v>0</v>
    <v>Powered by Refinitiv</v>
    <v>5</v>
    <v>Eldorado Gold Corp (XTSE:ELD)</v>
    <v>7</v>
    <v>8</v>
    <v>Finance</v>
    <v>4</v>
    <v>14.99</v>
    <v>4.0999999999999996</v>
    <v>1.7636000000000001</v>
    <v>-0.15</v>
    <v>-1.2385999999999999E-2</v>
    <v>CAD</v>
    <v xml:space="preserve">Eldorado Gold Corp is a Canada-based gold exploration, development and mining company. The Company’s operations are classified into geographical segments that include Turkey, Canada, Brazil, Greece and Romania. The Company operates two gold mines in Turkey Kisladag and Efemcukuru, and two polymetallic mines in Greece Olympias and Stratoni. Its Stratoni mine is a silver-lead-zinc mine and the Olympias is a gold-silver-lead-zinc mine. The Company operates the Lamaque gold mine in Canada. The Brazil segment is engaged in operating Vila Nova, which is an iron ore mine, and is engaged in the exploration activties of Tocantinzinho project in Brazil. The Company is also developing Skouries and Perama Hill projects in Greece, and is developing Certej project in Romania. </v>
    <v>2756</v>
    <v>Toronto Stock Exchange</v>
    <v>XTSE</v>
    <v>XTSE</v>
    <v>5-550 Burrard St, VANCOUVER, BC, V6C 2B5 CA</v>
    <v>13.2</v>
    <v>82</v>
    <v>Metals &amp; Mining</v>
    <v>Stock</v>
    <v>43935.833333333336</v>
    <v>83</v>
    <v>11.62</v>
    <v>1990627000</v>
    <v>Eldorado Gold Corp</v>
    <v>Eldorado Gold Corp</v>
    <v>12.78</v>
    <v>19.739999999999998</v>
    <v>12.11</v>
    <v>11.96</v>
    <v>164970000</v>
    <v>ELD</v>
    <v>Eldorado Gold Corp (XTSE:ELD)</v>
    <v>2025737</v>
    <v>1996</v>
  </rv>
  <rv s="2">
    <v>84</v>
  </rv>
  <rv s="1">
    <v>en-US</v>
    <v>aay9k2</v>
    <v>268435456</v>
    <v>268435457</v>
    <v>0</v>
    <v>Powered by Refinitiv</v>
    <v>0</v>
    <v>Franco-Nevada Corp (XTSE:FNV)</v>
    <v>2</v>
    <v>3</v>
    <v>Finance</v>
    <v>4</v>
    <v>171.48</v>
    <v>93.24</v>
    <v>0.3987</v>
    <v>2.4900000000000002</v>
    <v>1.4735E-2</v>
    <v>CAD</v>
    <v>Franco-Nevada Corporation (Franco-Nevada) is a gold-focused royalty and stream company. The Company owns a portfolio of royalty, stream and working interests, covering properties at various stages, from production to early exploration, in Latin America, United States, Canada, Australia and Africa. The Company is engaged in the management and acquisition of royalties, streams and working interests in the mining and energy sectors. Its properties in Latin America include Cobre Panama, Candelaria, Antapaccay, Guadalupe-Palmarejo, Salares Norte and Cerro San Pedro. Its properties in Canada include Sudbury, Detour Lake, Golden Highway, Hemlo, Canadian Malartic and Brucejack. Its properties in the United States include Goldstrike, Marigold, EaglePicher, Sandman, Castle Mountain, Hollister and Bald Mountain.</v>
    <v>38</v>
    <v>Toronto Stock Exchange</v>
    <v>XTSE</v>
    <v>XTSE</v>
    <v>199 Bay Street, Suite 2000, Commerce Court West, TORONTO, ON, M5L 1G9 CA</v>
    <v>177.45</v>
    <v>Metals &amp; Mining</v>
    <v>Stock</v>
    <v>43935.847025462965</v>
    <v>3</v>
    <v>167.44</v>
    <v>31893980000</v>
    <v>Franco-Nevada Corp</v>
    <v>Franco-Nevada Corp</v>
    <v>173.01</v>
    <v>72.22</v>
    <v>168.99</v>
    <v>171.48</v>
    <v>189411700</v>
    <v>FNV</v>
    <v>Franco-Nevada Corp (XTSE:FNV)</v>
    <v>864675</v>
    <v>2008</v>
  </rv>
  <rv s="2">
    <v>86</v>
  </rv>
  <rv s="0">
    <v>https://www.bing.com/financeapi/forcetrigger?t=axzm6h&amp;q=XTSE%3aEQX&amp;form=skydnc</v>
    <v>Learn more on Bing</v>
  </rv>
  <rv s="11">
    <v>en-US</v>
    <v>axzm6h</v>
    <v>268435456</v>
    <v>268435457</v>
    <v>0</v>
    <v>Powered by Refinitiv</v>
    <v>21</v>
    <v>Equinox Gold Corp (XTSE:EQX)</v>
    <v>2</v>
    <v>23</v>
    <v>Finance</v>
    <v>4</v>
    <v>13.52</v>
    <v>4.9000000000000004</v>
    <v>0.7157</v>
    <v>0.1</v>
    <v>9.5689999999999994E-3</v>
    <v>CAD</v>
    <v>Equinox Gold Corp. is a Canada-based mining company. The Company is engaged in the development and operation of mineral properties. It has a gold reserve base and operates approximately six wholly owned gold mines. The Company produces gold from its Los Filos Mine in Mexico, its Mesquite Gold Mine in California, and its Aurizona, Fazenda, RDM and Pilar mines in Brazil. The Los Filos mine is located approximately 180 kilometers (kms) south of Mexico City in the municipality of Eduardo Neri, Mexico. The Aurizona mine is an open-pit gold mine. The Mesquite mine is an open-pit, run-of-mine (ROM) heap leach gold mine located in Imperial County, California. The RDM mine is located in Minas Gerais State, Brazil, approximately 560 kms north of Belo Horizonte. The Fazenda mine is located within the Maria Preta mining district in Bahia State, Brazil. The Pilar mine is located in Goias State in central Brazil, approximately 320 kms from the federal capital of Brasilia.</v>
    <v>Toronto Stock Exchange</v>
    <v>XTSE</v>
    <v>XTSE</v>
    <v>700 Pender St W Suite 1501, VANCOUVER, BC, V6C 1G8 CA</v>
    <v>11.18</v>
    <v>Metals &amp; Mining</v>
    <v>Stock</v>
    <v>43935.833333333336</v>
    <v>88</v>
    <v>10.16</v>
    <v>2256476000</v>
    <v>Equinox Gold Corp</v>
    <v>Equinox Gold Corp</v>
    <v>10.85</v>
    <v>10.45</v>
    <v>10.55</v>
    <v>215930700</v>
    <v>EQX</v>
    <v>Equinox Gold Corp (XTSE:EQX)</v>
    <v>2641712</v>
    <v>2007</v>
  </rv>
  <rv s="2">
    <v>89</v>
  </rv>
  <rv s="5">
    <v>en-US</v>
    <v>aayw3m</v>
    <v>268435456</v>
    <v>268435457</v>
    <v>0</v>
    <v>Powered by Refinitiv</v>
    <v>5</v>
    <v>Iamgold Corp (XTSE:IMG)</v>
    <v>7</v>
    <v>8</v>
    <v>Finance</v>
    <v>4</v>
    <v>5.55</v>
    <v>2</v>
    <v>0.88660000000000005</v>
    <v>0</v>
    <v>0</v>
    <v>CAD</v>
    <v>Iamgold Corp is a Canada-based gold mining company. The Company's portfolio of operating gold mines, includes The Rosebel gold mine, Essakane Gold Mine, Burkina Faso, Westwood Gold MinenCanada, Sadiola Gold Mine Mali and Yatela Gold Mine Mali. The Rosebel gold mine is located in the Brokopondo district in north eastern Suriname, South America; The Essakane project is located in north-eastern Burkina Faso, West Africa; The Westwood Project is located on the Doyon property, 2.5 kilometers east of the former Doyon Gold Mine in the Bousquet Township, approximately 40 kilometers east of Rouyn-Noranda and 80 kilometers west of Val dOr in southwestern Quebec, Canada. The Sadiola Gold Mine is located in southwest Mali, West Africa near the Senegal Mali border, approximately 70 kilometers south of the town of Kayes, the regional capital. The Yatela Gold Mine is located 25 kilometers north of the Sadiola Gold Mine in southwest Mali, West Africa near the Senegal-Mali border.</v>
    <v>4832</v>
    <v>Toronto Stock Exchange</v>
    <v>XTSE</v>
    <v>XTSE</v>
    <v>401 Bay St Suite 3200, TORONTO, ON, M5H 2Y4 CA</v>
    <v>4.6900000000000004</v>
    <v>9</v>
    <v>Metals &amp; Mining</v>
    <v>Stock</v>
    <v>43935.833333333336</v>
    <v>10</v>
    <v>4.16</v>
    <v>2010328000</v>
    <v>Iamgold Corp</v>
    <v>Iamgold Corp</v>
    <v>4.3499999999999996</v>
    <v>59.03</v>
    <v>4.29</v>
    <v>4.29</v>
    <v>470293200</v>
    <v>IMG</v>
    <v>Iamgold Corp (XTSE:IMG)</v>
    <v>4095836</v>
    <v>2017</v>
  </rv>
  <rv s="2">
    <v>91</v>
  </rv>
  <rv s="1">
    <v>en-US</v>
    <v>aaxfz2</v>
    <v>268435456</v>
    <v>268435457</v>
    <v>0</v>
    <v>Powered by Refinitiv</v>
    <v>0</v>
    <v>Centerra Gold Inc (XTSE:CG)</v>
    <v>2</v>
    <v>3</v>
    <v>Finance</v>
    <v>4</v>
    <v>13</v>
    <v>5.52</v>
    <v>0.34420000000000001</v>
    <v>0</v>
    <v>0</v>
    <v>CAD</v>
    <v>Centerra Gold Inc. is a Canada-based gold mining company engaged in operating, developing, acquiring and exploring gold properties in North America, Asia and other markets across the world. The Company’s Kyrgyz Republic segment includes the operations of the Kumtor Gold Project. Its Turkish segment represents the development of the oksut Project. Its North America Gold Copper segment represents the operations of the Mount Milligan Mine. The Company’s North America Molybdenum segment includes the operations of the Langeloth processing facility and care and maintenance activities of the Endako and Thompson Creek Mines. The Company’s Corporate and other segment includes the Greenstone Gold Property, the Kemess Project and other exploration projects. The Company’s Kemess Project is a brownfield project in northern British Columbia, Canada.</v>
    <v>3650</v>
    <v>Toronto Stock Exchange</v>
    <v>XTSE</v>
    <v>XTSE</v>
    <v>1 University Ave Suite 1500, TORONTO, ON, M5J 2P1 CA</v>
    <v>10.62</v>
    <v>Metals &amp; Mining</v>
    <v>Stock</v>
    <v>43935.833333333336</v>
    <v>16</v>
    <v>9.56</v>
    <v>2859073000</v>
    <v>Centerra Gold Inc</v>
    <v>Centerra Gold Inc</v>
    <v>9.94</v>
    <v>15.99</v>
    <v>9.77</v>
    <v>9.77</v>
    <v>293690500</v>
    <v>CG</v>
    <v>Centerra Gold Inc (XTSE:CG)</v>
    <v>1473443</v>
    <v>2002</v>
  </rv>
  <rv s="2">
    <v>93</v>
  </rv>
  <rv s="0">
    <v>http://en.wikipedia.org/wiki/Yamana_Gold</v>
    <v>Wikipedia</v>
  </rv>
  <rv s="3">
    <v>22</v>
    <v>95</v>
  </rv>
  <rv s="4">
    <v>https://www.bing.com/th?id=AMMS_cef43929a92dfb57c6d4b44f59d0e14d&amp;qlt=95</v>
    <v>96</v>
    <v>https://www.bing.com/images/search?form=xlimg&amp;q=yamana+gold</v>
    <v>Image of Yamana Gold Inc</v>
  </rv>
  <rv s="0">
    <v>https://www.bing.com/financeapi/forcetrigger?t=ab236h&amp;q=XTSE%3aYRI&amp;form=skydnc</v>
    <v>Learn more on Bing</v>
  </rv>
  <rv s="5">
    <v>en-US</v>
    <v>ab236h</v>
    <v>268435456</v>
    <v>268435457</v>
    <v>0</v>
    <v>Powered by Refinitiv</v>
    <v>5</v>
    <v>Yamana Gold Inc (XTSE:YRI)</v>
    <v>7</v>
    <v>8</v>
    <v>Finance</v>
    <v>4</v>
    <v>6.56</v>
    <v>2.41</v>
    <v>1.7847</v>
    <v>0.15</v>
    <v>2.5996999999999999E-2</v>
    <v>CAD</v>
    <v>Yamana Gold Inc. is a gold producer with gold production, gold development stage properties, exploration properties, and land positions throughout the Americas, including Canada, Brazil, Chile and Argentina. The Company's segments include El Penon mine in Chile; Canadian Malartic mine in Canada; Gualcamayo mine in Argentina; Minera Florida mine in Chile; Jacobina mine in Brazil; Brio Gold Inc. (Brio Gold), and Corporate and other. The Company's development projects include Cerro Moro, Argentina; Agua Rica, Argentina, and Gualcamayo, Argentina. Its exploration projects include El Penon, Chile; Gualcamayo, Argentina; Minera Florida, Chile; Jacobina, Brazil; Cerro Moro, Argentina; Canadian Malartic Corporation, Canada; Monument Bay, Canada; Brio Gold Exploration; Pilar, Brazil; Fazenda Brasileiro, Brazil; RDM, Brazil, and C1 Santa Luz, Brazil.</v>
    <v>5091</v>
    <v>Toronto Stock Exchange</v>
    <v>XTSE</v>
    <v>XTSE</v>
    <v>North Tower, 763 Bay St Suite 2200, TORONTO, ON, M5G 2R3 CA</v>
    <v>6.36</v>
    <v>97</v>
    <v>Metals &amp; Mining</v>
    <v>Stock</v>
    <v>43935.833333333336</v>
    <v>98</v>
    <v>5.71</v>
    <v>5471223000</v>
    <v>Yamana Gold Inc</v>
    <v>Yamana Gold Inc</v>
    <v>5.96</v>
    <v>19.22</v>
    <v>5.77</v>
    <v>5.92</v>
    <v>951629200</v>
    <v>YRI</v>
    <v>Yamana Gold Inc (XTSE:YRI)</v>
    <v>11375278</v>
    <v>1995</v>
  </rv>
  <rv s="2">
    <v>99</v>
  </rv>
  <rv s="0">
    <v>http://de.wikipedia.org/wiki/B2Gold</v>
    <v>Wikipedia</v>
  </rv>
  <rv s="3">
    <v>22</v>
    <v>101</v>
  </rv>
  <rv s="4">
    <v>https://www.bing.com/th?id=AMMS_ca531b5f4731e4eadd727778db85faff&amp;qlt=95</v>
    <v>102</v>
    <v>https://www.bing.com/images/search?form=xlimg&amp;q=b2gold</v>
    <v>Image of B2Gold Corp</v>
  </rv>
  <rv s="0">
    <v>https://www.bing.com/financeapi/forcetrigger?t=aaxazr&amp;q=XTSE%3aBTO&amp;form=skydnc</v>
    <v>Learn more on Bing</v>
  </rv>
  <rv s="5">
    <v>en-US</v>
    <v>aaxazr</v>
    <v>268435456</v>
    <v>268435457</v>
    <v>0</v>
    <v>Powered by Refinitiv</v>
    <v>5</v>
    <v>B2Gold Corp (XTSE:BTO)</v>
    <v>7</v>
    <v>8</v>
    <v>Finance</v>
    <v>4</v>
    <v>6.51</v>
    <v>3.12</v>
    <v>1.3627</v>
    <v>7.0000000000000007E-2</v>
    <v>1.1006E-2</v>
    <v>CAD</v>
    <v>B2Gold Corp. (B2Gold) is a Canada-based gold producer with approximately four operating mines and one mine under construction. The Company has a portfolio of other evaluation and exploration projects in various countries, including Mali, Colombia, Burkina Faso, Finland and Chile. Its material mineral properties consist of three mines and one mine under construction: Otjikoto mine, an open pit gold mine located approximately 300 kilometers north of Windhoek, the capital of Namibia (Otjikoto Mine); Masbate mine, an open pit gold mine, located near the northern tip of the island of Masbate, over 360 kilometers south-east of Manila (Masbate Gold Project) and Fekola gold project, an open pit gold mine under construction located approximately 40 kilometers south of the city of Kenieba, Mali (Fekola Project).</v>
    <v>4217</v>
    <v>Toronto Stock Exchange</v>
    <v>XTSE</v>
    <v>XTSE</v>
    <v>595 Burrard Street, Suite 3100, VANCOUVER, BC, V7x 1J1 CA</v>
    <v>6.95</v>
    <v>103</v>
    <v>Metals &amp; Mining</v>
    <v>Stock</v>
    <v>43935.833333333336</v>
    <v>104</v>
    <v>6.21</v>
    <v>6529858000</v>
    <v>B2Gold Corp</v>
    <v>B2Gold Corp</v>
    <v>6.4</v>
    <v>17.809999999999999</v>
    <v>6.36</v>
    <v>6.43</v>
    <v>1030400000</v>
    <v>BTO</v>
    <v>B2Gold Corp (XTSE:BTO)</v>
    <v>13219914</v>
    <v>2006</v>
  </rv>
  <rv s="2">
    <v>105</v>
  </rv>
  <rv s="0">
    <v>https://www.bing.com/financeapi/forcetrigger?t=aayzfr&amp;q=XTSE%3aKL&amp;form=skydnc</v>
    <v>Learn more on Bing</v>
  </rv>
  <rv s="1">
    <v>en-US</v>
    <v>aayzfr</v>
    <v>268435456</v>
    <v>268435457</v>
    <v>0</v>
    <v>Powered by Refinitiv</v>
    <v>0</v>
    <v>Kirkland Lake Gold Ltd (XTSE:KL)</v>
    <v>2</v>
    <v>3</v>
    <v>Finance</v>
    <v>4</v>
    <v>67.87</v>
    <v>25.67</v>
    <v>0.8135</v>
    <v>-1.45</v>
    <v>-2.7261000000000001E-2</v>
    <v>CAD</v>
    <v>Kirkland Lake Gold Ltd is a Canada-based gold mining, development and exploration company. It has a diversified portfolio of assets located in the stable mining jurisdictions of Canada and Australia. The Company’s main gold mines are: the Macassa Mine located in northeastern Ontario, Detour Lake mines in Northern Ontario and the Fosterville Gold Mine located in the State of Victoria, Australia. In addition, the Company owns the Holt Mine and the Taylor Mine, which are situated along the Porcupine-Destor Fault Zone, in northeastern Ontario, the Cosmo Gold Mine located in the Northern Territory, Australia and the Stawell Gold Mine located in the State of Victoria, Australia. The Company’s subsidiaries include Crocodile Gold Inc, Detour Gold Corporation and Franc-Or Resources Peru SA.</v>
    <v>1981</v>
    <v>Toronto Stock Exchange</v>
    <v>XTSE</v>
    <v>XTSE</v>
    <v>200 Bay Street, Suite 3120, TORONTO, ON, M5J 2J1 CA</v>
    <v>55.56</v>
    <v>Metals &amp; Mining</v>
    <v>Stock</v>
    <v>43935.833333333336</v>
    <v>107</v>
    <v>50.45</v>
    <v>15191530000</v>
    <v>Kirkland Lake Gold Ltd</v>
    <v>Kirkland Lake Gold Ltd</v>
    <v>54</v>
    <v>15.05</v>
    <v>53.19</v>
    <v>51.74</v>
    <v>286635900</v>
    <v>KL</v>
    <v>Kirkland Lake Gold Ltd (XTSE:KL)</v>
    <v>2067289</v>
    <v>2015</v>
  </rv>
  <rv s="2">
    <v>108</v>
  </rv>
  <rv s="0">
    <v>https://www.bing.com/financeapi/forcetrigger?t=aawqc7&amp;q=XTSE%3aAEM&amp;form=skydnc</v>
    <v>Learn more on Bing</v>
  </rv>
  <rv s="1">
    <v>en-US</v>
    <v>aawqc7</v>
    <v>268435456</v>
    <v>268435457</v>
    <v>0</v>
    <v>Powered by Refinitiv</v>
    <v>0</v>
    <v>Agnico Eagle Mines Ltd (XTSE:AEM)</v>
    <v>2</v>
    <v>3</v>
    <v>Finance</v>
    <v>4</v>
    <v>86.39</v>
    <v>43.25</v>
    <v>0.65490000000000004</v>
    <v>1.66</v>
    <v>2.3107000000000003E-2</v>
    <v>CAD</v>
    <v>Agnico Eagle Mines Limited (Agnico Eagle) is an international gold producer with operating mines in Canada, Finland and Mexico and exploration and development activities in each of these countries as well as in the United States and Sweden. The Company operates through three business units: Northern Business, Southern Business and Exploration. Northern Business is comprised of the Company's operations in Canada and Finland. The Company's Canadian properties include the LaRonde Complex, the Goldex mine, the Meadowbank Complex and the Meliadine mine. The Company's Southern Business is comprised of the Company's operations in Mexico. The Company's Exploration group focuses primarily on the identification and evaluation of new mineral reserves and mineral resources and new development opportunities in gold producing regions. Its exploration activities are concentrated in Canada, the United States, Mexico, Finland and Sweden.</v>
    <v>6193</v>
    <v>Toronto Stock Exchange</v>
    <v>XTSE</v>
    <v>XTSE</v>
    <v>145 King St E Suite 400, TORONTO, ON, M5C 2Y7 CA</v>
    <v>75.599999999999994</v>
    <v>Metals &amp; Mining</v>
    <v>Stock</v>
    <v>43935.846446759257</v>
    <v>110</v>
    <v>71.67</v>
    <v>17240530000</v>
    <v>Agnico Eagle Mines Ltd</v>
    <v>Agnico Eagle Mines Ltd</v>
    <v>72.87</v>
    <v>28.68</v>
    <v>71.84</v>
    <v>73.5</v>
    <v>240848200</v>
    <v>AEM</v>
    <v>Agnico Eagle Mines Ltd (XTSE:AEM)</v>
    <v>1094146</v>
    <v>1972</v>
  </rv>
  <rv s="2">
    <v>111</v>
  </rv>
  <rv s="7">
    <v>en-US</v>
    <v>aayym7</v>
    <v>268435456</v>
    <v>268435457</v>
    <v>0</v>
    <v>Powered by Refinitiv</v>
    <v>12</v>
    <v>Kinross Gold Corp (XTSE:K)</v>
    <v>7</v>
    <v>13</v>
    <v>Finance</v>
    <v>4</v>
    <v>8.8000000000000007</v>
    <v>4</v>
    <v>1.0965</v>
    <v>-0.17</v>
    <v>-1.9608E-2</v>
    <v>CAD</v>
    <v xml:space="preserve">Kinross Gold Corporation is a gold mining company. The Company is engaged in gold mining and related activities, including exploration and acquisition of gold-bearing properties, the extraction and processing of gold-containing ore, and reclamation of gold mining properties. The Company's segments include Fort Knox, Round Mountain, Bald Mountain, Paracatu, Kupol, Maricunga, Tasiast and Chirano. Fort Knox is an open-pit gold mine located in Fairbanks, Alaska. Round Mountain open-pit mine is located in Nye County, Nevada. Bald Mountain open-pit mine is located in Nevada. The Company’s gold production and exploration activities are carried out principally in Canada, the United States, the Russian Federation, Brazil, Chile, Ghana and Mauritania. Gold is produced in the form of dore, which is shipped to refineries for final processing. Kinross also produces and sells a quantity of silver. </v>
    <v>9135</v>
    <v>Toronto Stock Exchange</v>
    <v>XTSE</v>
    <v>XTSE</v>
    <v>25 York St 17th Floor, TORONTO, ON, M5J 2V5 CA</v>
    <v>9.1999999999999993</v>
    <v>25</v>
    <v>Metals &amp; Mining</v>
    <v>Stock</v>
    <v>43935.833333333336</v>
    <v>26</v>
    <v>8.2899999999999991</v>
    <v>10860910000</v>
    <v>Kinross Gold Corp</v>
    <v>Kinross Gold Corp</v>
    <v>8.76</v>
    <v>11.51</v>
    <v>8.67</v>
    <v>8.5</v>
    <v>1257206000</v>
    <v>K</v>
    <v>Kinross Gold Corp (XTSE:K)</v>
    <v>9603543</v>
  </rv>
  <rv s="2">
    <v>113</v>
  </rv>
  <rv s="0">
    <v>https://www.bing.com/financeapi/forcetrigger?t=a1nxu2&amp;q=XNYS%3aAU&amp;form=skydnc</v>
    <v>Learn more on Bing</v>
  </rv>
  <rv s="6">
    <v>en-US</v>
    <v>a1nxu2</v>
    <v>268435456</v>
    <v>268435457</v>
    <v>0</v>
    <v>Powered by Refinitiv</v>
    <v>9</v>
    <v>AngloGold Ashanti Ltd (XNYS:AU)</v>
    <v>2</v>
    <v>10</v>
    <v>Finance</v>
    <v>11</v>
    <v>23.85</v>
    <v>11.29</v>
    <v>-3.0599999999999999E-2</v>
    <v>0.73</v>
    <v>3.2143999999999999E-2</v>
    <v>USD</v>
    <v>AngloGold Ashanti Limited (AngloGold Ashanti) is a gold mining company. The Company's business activities span the spectrum of the mining value chain. Its main product is gold. Its portfolio includes over 17 mines in approximately nine countries. It also produces silver, uranium and sulfuric acid as by-products. The Company operates through four segments: South Africa, Continental Africa, Australasia and Americas. Its South African operations comprise of the West Wits operations, including Mponeng and TauTona, and surface operations. It has operations in Continental Africa in locations, including Democratic Republic of the Congo, Ghana, Guinea, Mali and Tanzania. The Australasia segment includes the operations in Australia. It consists of Sunrise Dam and Tropicana. The Americas segment includes the operations in Argentina, Brazil and the United States.</v>
    <v>34263</v>
    <v>New York Stock Exchange</v>
    <v>XNYS</v>
    <v>XNYS</v>
    <v>76 Jeppe Street, Newtown, 2001, Po Box 62117 Marshalltown 2107, JOHANNESBURG, GAUTENG, 2001 ZA</v>
    <v>24.79</v>
    <v>Metals &amp; Mining</v>
    <v>Stock</v>
    <v>43935.985252430466</v>
    <v>115</v>
    <v>22.733599999999999</v>
    <v>8714438000</v>
    <v>AngloGold Ashanti Ltd</v>
    <v>AngloGold Ashanti Ltd</v>
    <v>23.28</v>
    <v>25.867999999999999</v>
    <v>22.71</v>
    <v>23.44</v>
    <v>416340700</v>
    <v>AU</v>
    <v>AngloGold Ashanti Ltd (XNYS:AU)</v>
    <v>5812515</v>
    <v>5274278</v>
    <v>1944</v>
  </rv>
  <rv s="2">
    <v>116</v>
  </rv>
  <rv s="1">
    <v>en-US</v>
    <v>aawpa2</v>
    <v>268435456</v>
    <v>268435457</v>
    <v>0</v>
    <v>Powered by Refinitiv</v>
    <v>0</v>
    <v>Barrick Gold Corp (XTSE:ABX)</v>
    <v>2</v>
    <v>3</v>
    <v>Finance</v>
    <v>4</v>
    <v>34.49</v>
    <v>15.72</v>
    <v>0.17610000000000001</v>
    <v>0.21</v>
    <v>6.2150000000000009E-3</v>
    <v>CAD</v>
    <v>Barrick Gold Corp is a gold mining company. The Company is principally engaged in the production and sale of gold and copper, as well as related activities, such as exploration and mine development. The Company's segments include Barrick Nevada, Golden Sunlight, Hemlo, Jabal Sayid, Lagunas Norte, Lumwana, Porgera, Pueblo Viejo, Turquoise Ridge, Veladero and Zaldvar. Pueblo Viejo, Lagunas Norte, Veladero and Turquoise Ridge are its individual gold mines. The Company, through its subsidiary Acacia, owns gold mines and exploration properties in Africa. Its Porgera is a gold mine. Zaldivar and Lumwana are copper mines. The Pascua-Lama project is located on the border between Chile and Argentina. The Company owns a number of producing gold mines, which are located in Canada, the United States, Peru, Argentina, Australia and the Dominican Republic.</v>
    <v>22100</v>
    <v>Toronto Stock Exchange</v>
    <v>XTSE</v>
    <v>XTSE</v>
    <v>Canada Trust Tower, 161 Bay St Suite 3700, TORONTO, ON, M5J 2S1 CA</v>
    <v>34.74</v>
    <v>Metals &amp; Mining</v>
    <v>Stock</v>
    <v>43935.833333333336</v>
    <v>29</v>
    <v>33.18</v>
    <v>59864490000</v>
    <v>Barrick Gold Corp</v>
    <v>Barrick Gold Corp</v>
    <v>33.86</v>
    <v>11.63</v>
    <v>33.79</v>
    <v>34</v>
    <v>1778035000</v>
    <v>ABX</v>
    <v>Barrick Gold Corp (XTSE:ABX)</v>
    <v>8285295</v>
    <v>2018</v>
  </rv>
  <rv s="2">
    <v>118</v>
  </rv>
  <rv s="0">
    <v>http://es.wikipedia.org/wiki/Newmont_Mining_Corporation</v>
    <v>Wikipedia</v>
  </rv>
  <rv s="3">
    <v>22</v>
    <v>120</v>
  </rv>
  <rv s="4">
    <v>https://www.bing.com/th?id=AMMS_dfe410b95d6678449580544f751cf8a5&amp;qlt=95</v>
    <v>121</v>
    <v>https://www.bing.com/images/search?form=xlimg&amp;q=newmont+mining+corporation</v>
    <v>Image of Newmont Corporation</v>
  </rv>
  <rv s="0">
    <v>https://www.bing.com/financeapi/forcetrigger?t=bpucrw&amp;q=XTSE%3aNGT&amp;form=skydnc</v>
    <v>Learn more on Bing</v>
  </rv>
  <rv s="5">
    <v>en-US</v>
    <v>bpucrw</v>
    <v>268435456</v>
    <v>268435457</v>
    <v>0</v>
    <v>Powered by Refinitiv</v>
    <v>5</v>
    <v>Newmont Corporation (XTSE:NGT)</v>
    <v>7</v>
    <v>8</v>
    <v>Finance</v>
    <v>4</v>
    <v>84.2</v>
    <v>40.01</v>
    <v>0.27729999999999999</v>
    <v>0.22</v>
    <v>2.6650000000000003E-3</v>
    <v>CAD</v>
    <v>Newmont Corporation, formerly Newmont Goldcorp Corp, is a mining company, which is focused on the production of and exploration for gold, copper, silver, zinc and lead. It is primarily a gold producer with operations and/or assets in the United States, Australia, Peru, Ghana and Suriname. The Company's segments include North America, South America, Asia Pacific and Africa. Its North America segment consists primarily of Carlin, Phoenix, Twin Creeks and Long Canyon in the state of Nevada, and Cripple Creek &amp;Victor (CC&amp;V) in the state of Colorado, in the United States. Its South America segment consists primarily of Yanacocha in Peru and Merian in Suriname. Its Asia Pacific segment consists primarily of Boddington, Tanami and Kalgoorlie in Australia. The Company's Africa segment consists primarily of Ahafo and Akyem in Ghana. As of December 31, 2016, it had gold reserves of 68.5 million ounces and an aggregate land position of approximately 23,000 square miles (59,000 square kilometers).</v>
    <v>16600</v>
    <v>Toronto Stock Exchange</v>
    <v>XTSE</v>
    <v>XTSE</v>
    <v>6363 S Fiddlers Green Cir, GREENWOOD VILLAGE, CO, 80111 US</v>
    <v>85.35</v>
    <v>122</v>
    <v>Metals &amp; Mining</v>
    <v>Stock</v>
    <v>43935.833333333336</v>
    <v>123</v>
    <v>81.92</v>
    <v>48281460000</v>
    <v>Newmont Corporation</v>
    <v>Newmont Corporation</v>
    <v>83.32</v>
    <v>17.829999999999998</v>
    <v>82.54</v>
    <v>82.76</v>
    <v>807787500</v>
    <v>NGT</v>
    <v>Newmont Corporation (XTSE:NGT)</v>
    <v>228051</v>
    <v>2001</v>
  </rv>
  <rv s="2">
    <v>124</v>
  </rv>
  <rv s="5">
    <v>en-US</v>
    <v>bpucrw</v>
    <v>268435456</v>
    <v>268435457</v>
    <v>1</v>
    <v>Powered by Refinitiv</v>
    <v>5</v>
    <v>Newmont Corporation (XTSE:NGT)</v>
    <v>7</v>
    <v>8</v>
    <v>Finance</v>
    <v>4</v>
    <v>84.2</v>
    <v>40.01</v>
    <v>0.27729999999999999</v>
    <v>0.22</v>
    <v>2.6650000000000003E-3</v>
    <v>CAD</v>
    <v>Newmont Corporation, formerly Newmont Goldcorp Corp, is a mining company, which is focused on the production of and exploration for gold, copper, silver, zinc and lead. It is primarily a gold producer with operations and/or assets in the United States, Australia, Peru, Ghana and Suriname. The Company's segments include North America, South America, Asia Pacific and Africa. Its North America segment consists primarily of Carlin, Phoenix, Twin Creeks and Long Canyon in the state of Nevada, and Cripple Creek &amp;Victor (CC&amp;V) in the state of Colorado, in the United States. Its South America segment consists primarily of Yanacocha in Peru and Merian in Suriname. Its Asia Pacific segment consists primarily of Boddington, Tanami and Kalgoorlie in Australia. The Company's Africa segment consists primarily of Ahafo and Akyem in Ghana. As of December 31, 2016, it had gold reserves of 68.5 million ounces and an aggregate land position of approximately 23,000 square miles (59,000 square kilometers).</v>
    <v>16600</v>
    <v>Toronto Stock Exchange</v>
    <v>XTSE</v>
    <v>XTSE</v>
    <v>6363 S Fiddlers Green Cir, GREENWOOD VILLAGE, CO, 80111 US</v>
    <v>85.35</v>
    <v>122</v>
    <v>Metals &amp; Mining</v>
    <v>Stock</v>
    <v>43935.833333333336</v>
    <v>123</v>
    <v>81.92</v>
    <v>48281460000</v>
    <v>Newmont Corporation</v>
    <v>Newmont Corporation</v>
    <v>83.32</v>
    <v>17.829999999999998</v>
    <v>82.54</v>
    <v>82.76</v>
    <v>807787500</v>
    <v>NGT</v>
    <v>Newmont Corporation (XTSE:NGT)</v>
    <v>228051</v>
    <v>2001</v>
  </rv>
  <rv s="2">
    <v>126</v>
  </rv>
  <rv s="5">
    <v>en-US</v>
    <v>aaxazr</v>
    <v>268435456</v>
    <v>268435457</v>
    <v>1</v>
    <v>Powered by Refinitiv</v>
    <v>5</v>
    <v>B2Gold Corp (XTSE:BTO)</v>
    <v>7</v>
    <v>8</v>
    <v>Finance</v>
    <v>4</v>
    <v>6.51</v>
    <v>3.12</v>
    <v>1.3627</v>
    <v>7.0000000000000007E-2</v>
    <v>1.1006E-2</v>
    <v>CAD</v>
    <v>B2Gold Corp. (B2Gold) is a Canada-based gold producer with approximately four operating mines and one mine under construction. The Company has a portfolio of other evaluation and exploration projects in various countries, including Mali, Colombia, Burkina Faso, Finland and Chile. Its material mineral properties consist of three mines and one mine under construction: Otjikoto mine, an open pit gold mine located approximately 300 kilometers north of Windhoek, the capital of Namibia (Otjikoto Mine); Masbate mine, an open pit gold mine, located near the northern tip of the island of Masbate, over 360 kilometers south-east of Manila (Masbate Gold Project) and Fekola gold project, an open pit gold mine under construction located approximately 40 kilometers south of the city of Kenieba, Mali (Fekola Project).</v>
    <v>4217</v>
    <v>Toronto Stock Exchange</v>
    <v>XTSE</v>
    <v>XTSE</v>
    <v>595 Burrard Street, Suite 3100, VANCOUVER, BC, V7x 1J1 CA</v>
    <v>6.95</v>
    <v>103</v>
    <v>Metals &amp; Mining</v>
    <v>Stock</v>
    <v>43935.833333333336</v>
    <v>104</v>
    <v>6.21</v>
    <v>6529858000</v>
    <v>B2Gold Corp</v>
    <v>B2Gold Corp</v>
    <v>6.4</v>
    <v>17.809999999999999</v>
    <v>6.36</v>
    <v>6.43</v>
    <v>1030400000</v>
    <v>BTO</v>
    <v>B2Gold Corp (XTSE:BTO)</v>
    <v>13219914</v>
    <v>2006</v>
  </rv>
  <rv s="2">
    <v>128</v>
  </rv>
  <rv s="1">
    <v>en-US</v>
    <v>ab1ryc</v>
    <v>268435456</v>
    <v>268435457</v>
    <v>1</v>
    <v>Powered by Refinitiv</v>
    <v>0</v>
    <v>Wesdome Gold Mines Ltd (XTSE:WDO)</v>
    <v>2</v>
    <v>16</v>
    <v>Finance</v>
    <v>4</v>
    <v>11.06</v>
    <v>3.96</v>
    <v>0.67520000000000002</v>
    <v>-0.26</v>
    <v>-2.6612E-2</v>
    <v>CAD</v>
    <v>Wesdome Gold Mines Ltd. is a gold producer engaged in mining and related activities including exploration, extraction, processing and reclamation. The Company’s principal assets include the Eagle River Mine, the Mishi Mine and the Eagle River Mill located near Wawa, Ontario, together called the Eagle River Complex, the Moss Lake property in Thunder Bay, Ontario, and the Kiena Mining and Milling Complex (Kiena Complex) and exploration properties located in Val D’Or, Quebec. Eagle River Complex consist of two claim groups totaling over 11,000 hectares, the Eagle River Underground Mine, the Mishi Open Pit Mine and common mineral processing facilities located adjacent to the Mishi Open Pit and permitted at 1,200 tonnes per day. Its Val D’Or land position consists of a contiguous block of mining claims and concessions covering in excess of approximately 7,500 hectares.</v>
    <v>301</v>
    <v>Toronto Stock Exchange</v>
    <v>XTSE</v>
    <v>XTSE</v>
    <v>8 King St E Suite 1305, TORONTO, ON, M5C 1B5 CA</v>
    <v>10.33</v>
    <v>Metals &amp; Mining</v>
    <v>Stock</v>
    <v>43935.847025462965</v>
    <v>35</v>
    <v>9.19</v>
    <v>1348186000</v>
    <v>Wesdome Gold Mines Ltd</v>
    <v>Wesdome Gold Mines Ltd</v>
    <v>9.85</v>
    <v>32.82</v>
    <v>9.77</v>
    <v>9.51</v>
    <v>137992400</v>
    <v>WDO</v>
    <v>Wesdome Gold Mines Ltd (XTSE:WDO)</v>
    <v>1027871</v>
    <v>1991</v>
  </rv>
  <rv s="2">
    <v>130</v>
  </rv>
  <rv s="5">
    <v>en-US</v>
    <v>aaxy77</v>
    <v>268435456</v>
    <v>268435457</v>
    <v>1</v>
    <v>Powered by Refinitiv</v>
    <v>5</v>
    <v>Eldorado Gold Corp (XTSE:ELD)</v>
    <v>7</v>
    <v>8</v>
    <v>Finance</v>
    <v>4</v>
    <v>14.99</v>
    <v>4.0999999999999996</v>
    <v>1.7636000000000001</v>
    <v>-0.15</v>
    <v>-1.2385999999999999E-2</v>
    <v>CAD</v>
    <v xml:space="preserve">Eldorado Gold Corp is a Canada-based gold exploration, development and mining company. The Company’s operations are classified into geographical segments that include Turkey, Canada, Brazil, Greece and Romania. The Company operates two gold mines in Turkey Kisladag and Efemcukuru, and two polymetallic mines in Greece Olympias and Stratoni. Its Stratoni mine is a silver-lead-zinc mine and the Olympias is a gold-silver-lead-zinc mine. The Company operates the Lamaque gold mine in Canada. The Brazil segment is engaged in operating Vila Nova, which is an iron ore mine, and is engaged in the exploration activties of Tocantinzinho project in Brazil. The Company is also developing Skouries and Perama Hill projects in Greece, and is developing Certej project in Romania. </v>
    <v>2756</v>
    <v>Toronto Stock Exchange</v>
    <v>XTSE</v>
    <v>XTSE</v>
    <v>5-550 Burrard St, VANCOUVER, BC, V6C 2B5 CA</v>
    <v>13.2</v>
    <v>82</v>
    <v>Metals &amp; Mining</v>
    <v>Stock</v>
    <v>43935.833333333336</v>
    <v>83</v>
    <v>11.62</v>
    <v>1990627000</v>
    <v>Eldorado Gold Corp</v>
    <v>Eldorado Gold Corp</v>
    <v>12.78</v>
    <v>19.739999999999998</v>
    <v>12.11</v>
    <v>11.96</v>
    <v>164970000</v>
    <v>ELD</v>
    <v>Eldorado Gold Corp (XTSE:ELD)</v>
    <v>2025737</v>
    <v>1996</v>
  </rv>
  <rv s="2">
    <v>132</v>
  </rv>
  <rv s="1">
    <v>en-US</v>
    <v>aayzfr</v>
    <v>268435456</v>
    <v>268435457</v>
    <v>1</v>
    <v>Powered by Refinitiv</v>
    <v>0</v>
    <v>Kirkland Lake Gold Ltd (XTSE:KL)</v>
    <v>2</v>
    <v>3</v>
    <v>Finance</v>
    <v>4</v>
    <v>67.87</v>
    <v>25.67</v>
    <v>0.8135</v>
    <v>-1.45</v>
    <v>-2.7261000000000001E-2</v>
    <v>CAD</v>
    <v>Kirkland Lake Gold Ltd is a Canada-based gold mining, development and exploration company. It has a diversified portfolio of assets located in the stable mining jurisdictions of Canada and Australia. The Company’s main gold mines are: the Macassa Mine located in northeastern Ontario, Detour Lake mines in Northern Ontario and the Fosterville Gold Mine located in the State of Victoria, Australia. In addition, the Company owns the Holt Mine and the Taylor Mine, which are situated along the Porcupine-Destor Fault Zone, in northeastern Ontario, the Cosmo Gold Mine located in the Northern Territory, Australia and the Stawell Gold Mine located in the State of Victoria, Australia. The Company’s subsidiaries include Crocodile Gold Inc, Detour Gold Corporation and Franc-Or Resources Peru SA.</v>
    <v>1981</v>
    <v>Toronto Stock Exchange</v>
    <v>XTSE</v>
    <v>XTSE</v>
    <v>200 Bay Street, Suite 3120, TORONTO, ON, M5J 2J1 CA</v>
    <v>55.56</v>
    <v>Metals &amp; Mining</v>
    <v>Stock</v>
    <v>43935.833333333336</v>
    <v>107</v>
    <v>50.45</v>
    <v>15191530000</v>
    <v>Kirkland Lake Gold Ltd</v>
    <v>Kirkland Lake Gold Ltd</v>
    <v>54</v>
    <v>15.05</v>
    <v>53.19</v>
    <v>51.74</v>
    <v>286635900</v>
    <v>KL</v>
    <v>Kirkland Lake Gold Ltd (XTSE:KL)</v>
    <v>2067289</v>
    <v>2015</v>
  </rv>
  <rv s="2">
    <v>134</v>
  </rv>
  <rv s="1">
    <v>en-US</v>
    <v>aazayc</v>
    <v>268435456</v>
    <v>268435457</v>
    <v>1</v>
    <v>Powered by Refinitiv</v>
    <v>0</v>
    <v>McEwen Mining Inc (XTSE:MUX)</v>
    <v>2</v>
    <v>3</v>
    <v>Finance</v>
    <v>4</v>
    <v>2.84</v>
    <v>0.76</v>
    <v>0.48820000000000002</v>
    <v>0.11</v>
    <v>8.3969000000000002E-2</v>
    <v>CAD</v>
    <v>McEwen Mining Inc. is a mining and minerals production and exploration company. The Company is focused on precious and base metals in Argentina, Mexico and the United States. The Company's segments include Mexico, Minera Santa Cruz S.A. (MSC), Nevada and Los Azules. The Mexico Operations segment includes properties, such as El Gallo 1 mine and the El Gallo 2 project. The MSC segment includes properties, such as the San Jose mine and other concessions located around the mine. The Company's properties in Nevada segment include Gold Bar project and exploration properties. The Gold Bar project is a proposed mine project. The Los Azules segment includes various properties, such as Los Azules project, Chonchones project, Laganoso project, La Cerrada project and Other Argentina properties. The Los Azules copper project is an advanced-stage porphyry copper exploration project located in the cordilleran region of San Juan Province, Argentina near the border with Chile.</v>
    <v>448</v>
    <v>Toronto Stock Exchange</v>
    <v>XTSE</v>
    <v>XTSE</v>
    <v>150 King St W Suite 2800 - P.O. Box 24, TORONTO, ON, M5H 1J9 CA</v>
    <v>1.51</v>
    <v>Metals &amp; Mining</v>
    <v>Stock</v>
    <v>43935.832986111112</v>
    <v>44</v>
    <v>1.35</v>
    <v>378416600</v>
    <v>McEwen Mining Inc</v>
    <v>McEwen Mining Inc</v>
    <v>1.37</v>
    <v>99.58</v>
    <v>1.31</v>
    <v>1.42</v>
    <v>400398400</v>
    <v>MUX</v>
    <v>McEwen Mining Inc (XTSE:MUX)</v>
    <v>902717</v>
    <v>1979</v>
  </rv>
  <rv s="2">
    <v>136</v>
  </rv>
  <rv s="1">
    <v>en-US</v>
    <v>ab19fr</v>
    <v>268435456</v>
    <v>268435457</v>
    <v>1</v>
    <v>Powered by Refinitiv</v>
    <v>0</v>
    <v>Semafo Inc (XTSE:SMF)</v>
    <v>2</v>
    <v>3</v>
    <v>Finance</v>
    <v>4</v>
    <v>5.75</v>
    <v>1.57</v>
    <v>9.3100000000000002E-2</v>
    <v>0.01</v>
    <v>2.8249999999999998E-3</v>
    <v>CAD</v>
    <v>SEMAFO Inc. is a Canada-based mining company. Its segments include Mana, Burkina Faso; Natougou, Burkina Faso, and Other exploration. The Company, through its subsidiaries, is engaged in gold mining activities, including exploration, development and operations. Its properties include Mana project, which is located in Burkina Faso that includes the satellite Siou and Fofina deposits; Savary's Karankasso and Bantou property; Natougou advanced gold deposit, which is located approximately 320 kilometers east of Ouagadougou, and consists of a drill database of over 170 diamond, 625 multi-purpose (reverse-circulation (RC) pre-collar and core tail) and 550 RC drill holes; Banfora project, which is located approximately 200 kilometers south west of Mana, and Nabanga project, which is located approximately 250 kilometers south-east of Ouagadougou. Its subsidiaries include SEMAFO Burkina Faso S.A., Mana Mineral S.A., SEMAFO (Barbados) Ltd, Orbis Gold PTY LTD and Birimian Resources S.A.R.L.</v>
    <v>1228</v>
    <v>Toronto Stock Exchange</v>
    <v>XTSE</v>
    <v>XTSE</v>
    <v>750 Marcel Laurin Boulevard, Suite 375, SAINT-LAURENT, QC, 00000 CA</v>
    <v>3.79</v>
    <v>Metals &amp; Mining</v>
    <v>Stock</v>
    <v>43935.833333333336</v>
    <v>62</v>
    <v>3.45</v>
    <v>1179777000</v>
    <v>Semafo Inc</v>
    <v>Semafo Inc</v>
    <v>3.58</v>
    <v>17.989999999999998</v>
    <v>3.54</v>
    <v>3.55</v>
    <v>334468900</v>
    <v>SMF</v>
    <v>Semafo Inc (XTSE:SMF)</v>
    <v>3155032</v>
    <v>1994</v>
  </rv>
  <rv s="2">
    <v>138</v>
  </rv>
  <rv s="10">
    <v>en-US</v>
    <v>ab4b52</v>
    <v>268435456</v>
    <v>268435457</v>
    <v>1</v>
    <v>Powered by Refinitiv</v>
    <v>19</v>
    <v>K92 Mining Inc (XTSX:KNT)</v>
    <v>2</v>
    <v>20</v>
    <v>Finance</v>
    <v>4</v>
    <v>4.4649999999999999</v>
    <v>1.27</v>
    <v>1.3695999999999999</v>
    <v>-0.19</v>
    <v>-4.7030000000000002E-2</v>
    <v>CAD</v>
    <v>K92 Mining Inc., formerly Otterburn Resources Corp., is engaged in the exploration and development of mineral deposits in Papua New Guinea, specifically the Kainantu Gold Mine that includes Irumafima and Kora deposits. The Company's Kainantu property covers a total area of approximately 410 square kilometers and is located in the Eastern Highlands Province of Papua New Guinea, approximately 180 kilometers west-northwest of Lae. The Kainantu property comprises an exploration license EL1341; a mining license ML150; two mining easements ME80 and ME81, and a license for mining purposes LMP78. The Kora mine is located within ML150 and the main Kainantu exploration camp and processing plant are located within LMP78, which is located within EL693. The Company's EL 1341 covers a total area of over 150 square kilometers and is located to the south of ML150. The ML150 includes Judd, Karempe and other unnamed mineralized lodes. Judd is located approximately 200 meters east of Koraon ML150.</v>
    <v>TSX Venture Exchange</v>
    <v>XTSX</v>
    <v>XTSX</v>
    <v>488-1090 Georgia St W, VANCOUVER, BC, V6E 3V7 CA</v>
    <v>4.2699999999999996</v>
    <v>Metals &amp; Mining</v>
    <v>Stock</v>
    <v>43935.833333333336</v>
    <v>41</v>
    <v>3.7</v>
    <v>857616000</v>
    <v>K92 Mining Inc</v>
    <v>K92 Mining Inc</v>
    <v>4.13</v>
    <v>18.649999999999999</v>
    <v>4.04</v>
    <v>3.85</v>
    <v>213044700</v>
    <v>KNT</v>
    <v>K92 Mining Inc (XTSX:KNT)</v>
    <v>2298302</v>
    <v>2010</v>
  </rv>
  <rv s="2">
    <v>140</v>
  </rv>
  <rv s="1">
    <v>en-US</v>
    <v>aawqc7</v>
    <v>268435456</v>
    <v>268435457</v>
    <v>1</v>
    <v>Powered by Refinitiv</v>
    <v>0</v>
    <v>Agnico Eagle Mines Ltd (XTSE:AEM)</v>
    <v>2</v>
    <v>3</v>
    <v>Finance</v>
    <v>4</v>
    <v>86.39</v>
    <v>43.25</v>
    <v>0.65490000000000004</v>
    <v>1.66</v>
    <v>2.3107000000000003E-2</v>
    <v>CAD</v>
    <v>Agnico Eagle Mines Limited (Agnico Eagle) is an international gold producer with operating mines in Canada, Finland and Mexico and exploration and development activities in each of these countries as well as in the United States and Sweden. The Company operates through three business units: Northern Business, Southern Business and Exploration. Northern Business is comprised of the Company's operations in Canada and Finland. The Company's Canadian properties include the LaRonde Complex, the Goldex mine, the Meadowbank Complex and the Meliadine mine. The Company's Southern Business is comprised of the Company's operations in Mexico. The Company's Exploration group focuses primarily on the identification and evaluation of new mineral reserves and mineral resources and new development opportunities in gold producing regions. Its exploration activities are concentrated in Canada, the United States, Mexico, Finland and Sweden.</v>
    <v>6193</v>
    <v>Toronto Stock Exchange</v>
    <v>XTSE</v>
    <v>XTSE</v>
    <v>145 King St E Suite 400, TORONTO, ON, M5C 2Y7 CA</v>
    <v>75.599999999999994</v>
    <v>Metals &amp; Mining</v>
    <v>Stock</v>
    <v>43935.846446759257</v>
    <v>110</v>
    <v>71.67</v>
    <v>17240530000</v>
    <v>Agnico Eagle Mines Ltd</v>
    <v>Agnico Eagle Mines Ltd</v>
    <v>72.87</v>
    <v>28.68</v>
    <v>71.84</v>
    <v>73.5</v>
    <v>240848200</v>
    <v>AEM</v>
    <v>Agnico Eagle Mines Ltd (XTSE:AEM)</v>
    <v>1094146</v>
    <v>1972</v>
  </rv>
  <rv s="2">
    <v>142</v>
  </rv>
  <rv s="1">
    <v>en-US</v>
    <v>ab1krw</v>
    <v>268435456</v>
    <v>268435457</v>
    <v>1</v>
    <v>Powered by Refinitiv</v>
    <v>0</v>
    <v>Torex Gold Resources Inc (XTSE:TXG)</v>
    <v>2</v>
    <v>3</v>
    <v>Finance</v>
    <v>4</v>
    <v>22.45</v>
    <v>8.7899999999999991</v>
    <v>0.55620000000000003</v>
    <v>0.93</v>
    <v>6.1265E-2</v>
    <v>CAD</v>
    <v>Torex Gold Resources Inc. is a Canada-based resource company. The Company is engaged in the exploration, development and operation of the Morelos Gold property. The Morelos Gold Property is located in the prolific Guerrero Gold Belt in southern Mexico and consists of approximately seven mineral concessions covering a total area of over 29,000 hectares. The Company’s principal assets are the El Limon Guajes (ELG) mine (the ELG Mine) and the Media Luna project (the Media Luna Project). The ELG Mine is an open pit operation with two main pits (the El Limon and Guajes pits). The Company's Media Luna Project is an early stage development project.</v>
    <v>883</v>
    <v>Toronto Stock Exchange</v>
    <v>XTSE</v>
    <v>XTSE</v>
    <v>145 KING STREET, SUITE 1502, TORONTO, ON, M5H 1J8 CA</v>
    <v>17.25</v>
    <v>Metals &amp; Mining</v>
    <v>Stock</v>
    <v>43935.846493055556</v>
    <v>75</v>
    <v>15.77</v>
    <v>1291551000</v>
    <v>Torex Gold Resources Inc</v>
    <v>Torex Gold Resources Inc</v>
    <v>15.85</v>
    <v>14.98</v>
    <v>15.18</v>
    <v>16.11</v>
    <v>85388410</v>
    <v>TXG</v>
    <v>Torex Gold Resources Inc (XTSE:TXG)</v>
    <v>715455</v>
    <v>2010</v>
  </rv>
  <rv s="2">
    <v>144</v>
  </rv>
  <rv s="6">
    <v>en-US</v>
    <v>a1nxu2</v>
    <v>268435456</v>
    <v>268435457</v>
    <v>1</v>
    <v>Powered by Refinitiv</v>
    <v>9</v>
    <v>AngloGold Ashanti Ltd (XNYS:AU)</v>
    <v>2</v>
    <v>10</v>
    <v>Finance</v>
    <v>11</v>
    <v>23.85</v>
    <v>11.29</v>
    <v>-3.0599999999999999E-2</v>
    <v>0.73</v>
    <v>3.2143999999999999E-2</v>
    <v>USD</v>
    <v>AngloGold Ashanti Limited (AngloGold Ashanti) is a gold mining company. The Company's business activities span the spectrum of the mining value chain. Its main product is gold. Its portfolio includes over 17 mines in approximately nine countries. It also produces silver, uranium and sulfuric acid as by-products. The Company operates through four segments: South Africa, Continental Africa, Australasia and Americas. Its South African operations comprise of the West Wits operations, including Mponeng and TauTona, and surface operations. It has operations in Continental Africa in locations, including Democratic Republic of the Congo, Ghana, Guinea, Mali and Tanzania. The Australasia segment includes the operations in Australia. It consists of Sunrise Dam and Tropicana. The Americas segment includes the operations in Argentina, Brazil and the United States.</v>
    <v>34263</v>
    <v>New York Stock Exchange</v>
    <v>XNYS</v>
    <v>XNYS</v>
    <v>76 Jeppe Street, Newtown, 2001, Po Box 62117 Marshalltown 2107, JOHANNESBURG, GAUTENG, 2001 ZA</v>
    <v>24.79</v>
    <v>Metals &amp; Mining</v>
    <v>Stock</v>
    <v>43935.985252430466</v>
    <v>115</v>
    <v>22.733599999999999</v>
    <v>8714438000</v>
    <v>AngloGold Ashanti Ltd</v>
    <v>AngloGold Ashanti Ltd</v>
    <v>23.28</v>
    <v>25.867999999999999</v>
    <v>22.71</v>
    <v>23.44</v>
    <v>416340700</v>
    <v>AU</v>
    <v>AngloGold Ashanti Ltd (XNYS:AU)</v>
    <v>5812515</v>
    <v>5274278</v>
    <v>1944</v>
  </rv>
  <rv s="2">
    <v>146</v>
  </rv>
  <rv s="12">
    <v>en-US</v>
    <v>aazdc7</v>
    <v>268435456</v>
    <v>268435457</v>
    <v>1</v>
    <v>Powered by Refinitiv</v>
    <v>24</v>
    <v>New Gold Inc (XTSE:NGD)</v>
    <v>7</v>
    <v>25</v>
    <v>Finance</v>
    <v>4</v>
    <v>2.0299999999999998</v>
    <v>0.55000000000000004</v>
    <v>1.8118000000000001</v>
    <v>0.06</v>
    <v>0.06</v>
    <v>CAD</v>
    <v>New Gold Inc. is a Canada-based gold mining company. The Company owns assets in Canada and Mexico. Its assets include Rainy River, New Afton Mines and Cerro San Pedro Mine. The Rainy River Mine is situated in the Richardson Township, approximately 65 kilometers (km) northwest of Fort Frances in Northwestern Ontario. The New Afton copper-gold mine is located approximately 350 km northeast of Vancouver in the south-central interior of British Columbia. The Cerro San Pedro Mine is an open-pit gold and silver heap leach operation located in central Mexico in the state of San Luis Potosi, approximately 400 km north of Mexico City and 14 km east of the city of San Luis Potosi. The Company also owns the Blackwater Project, which is located in British Columbia, Canada, approximately 160 km southwest of Prince George.</v>
    <v>1267</v>
    <v>Toronto Stock Exchange</v>
    <v>XTSE</v>
    <v>XTSE</v>
    <v>181 BAY STREET, SUITE 3320, TORONTO, ON, M5J 2T3 CA</v>
    <v>1.18</v>
    <v>58</v>
    <v>Metals &amp; Mining</v>
    <v>Stock</v>
    <v>43935.846458333333</v>
    <v>59</v>
    <v>1</v>
    <v>673534700</v>
    <v>New Gold Inc</v>
    <v>New Gold Inc</v>
    <v>1.07</v>
    <v>1</v>
    <v>1.06</v>
    <v>675957100</v>
    <v>NGD</v>
    <v>New Gold Inc (XTSE:NGD)</v>
    <v>5015125</v>
    <v>2016</v>
  </rv>
  <rv s="2">
    <v>148</v>
  </rv>
  <rv s="11">
    <v>en-US</v>
    <v>aaz3xm</v>
    <v>268435456</v>
    <v>268435457</v>
    <v>1</v>
    <v>Powered by Refinitiv</v>
    <v>21</v>
    <v>Lundin Gold Inc (XTSE:LUG)</v>
    <v>2</v>
    <v>23</v>
    <v>Finance</v>
    <v>4</v>
    <v>13.49</v>
    <v>5.0199999999999996</v>
    <v>1.0660000000000001</v>
    <v>0.68</v>
    <v>7.1354000000000001E-2</v>
    <v>CAD</v>
    <v>Lundin Gold Inc (Lundin Gold), formerly Fortress Minerals Corp, is a Canada-based gold mining company. The Company owns the Fruta del Norte Project located in southeast Ecuador, which is an undeveloped gold project. The Company's Fruta del Norte Project is located in the Cordillera del Condor region of Zamora, Chinchipe province, southeastern Ecuador. The Fruta del Norte Project consists of approximately 30 mining concessions, which cover an area of approximately 75,000 hectares located in southeastern Ecuador, in the Province of Zamora and in Morona Santiago province. The Fruta del Norte Project is consist of over three concessions and covers an area of approximately 4,660 hectares located in the Province of Zamora Chinchipe. The Company's subsidiaries include Aurelian Resources Inc, Aurelian Resources Corporation Ltd, Aurelian Ecuador S.A. and Ecoaurelian Agricola S.A. The Company's Aurelian Ecuador S.A. holds the concessions underlying the Fruta del Norte Project.</v>
    <v>Toronto Stock Exchange</v>
    <v>XTSE</v>
    <v>XTSE</v>
    <v>885 Georgia St W Suite 2000, VANCOUVER, BC, V6C 3E8 CA</v>
    <v>10.77</v>
    <v>Metals &amp; Mining</v>
    <v>Stock</v>
    <v>43935.833333333336</v>
    <v>53</v>
    <v>9.92</v>
    <v>2138190000</v>
    <v>Lundin Gold Inc</v>
    <v>Lundin Gold Inc</v>
    <v>10.039999999999999</v>
    <v>9.5299999999999994</v>
    <v>10.210000000000001</v>
    <v>224364200</v>
    <v>LUG</v>
    <v>Lundin Gold Inc (XTSE:LUG)</v>
    <v>683381</v>
    <v>2002</v>
  </rv>
  <rv s="2">
    <v>150</v>
  </rv>
  <rv s="11">
    <v>en-US</v>
    <v>axzm6h</v>
    <v>268435456</v>
    <v>268435457</v>
    <v>1</v>
    <v>Powered by Refinitiv</v>
    <v>21</v>
    <v>Equinox Gold Corp (XTSE:EQX)</v>
    <v>2</v>
    <v>23</v>
    <v>Finance</v>
    <v>4</v>
    <v>13.52</v>
    <v>4.9000000000000004</v>
    <v>0.7157</v>
    <v>0.1</v>
    <v>9.5689999999999994E-3</v>
    <v>CAD</v>
    <v>Equinox Gold Corp. is a Canada-based mining company. The Company is engaged in the development and operation of mineral properties. It has a gold reserve base and operates approximately six wholly owned gold mines. The Company produces gold from its Los Filos Mine in Mexico, its Mesquite Gold Mine in California, and its Aurizona, Fazenda, RDM and Pilar mines in Brazil. The Los Filos mine is located approximately 180 kilometers (kms) south of Mexico City in the municipality of Eduardo Neri, Mexico. The Aurizona mine is an open-pit gold mine. The Mesquite mine is an open-pit, run-of-mine (ROM) heap leach gold mine located in Imperial County, California. The RDM mine is located in Minas Gerais State, Brazil, approximately 560 kms north of Belo Horizonte. The Fazenda mine is located within the Maria Preta mining district in Bahia State, Brazil. The Pilar mine is located in Goias State in central Brazil, approximately 320 kms from the federal capital of Brasilia.</v>
    <v>Toronto Stock Exchange</v>
    <v>XTSE</v>
    <v>XTSE</v>
    <v>700 Pender St W Suite 1501, VANCOUVER, BC, V6C 1G8 CA</v>
    <v>11.18</v>
    <v>Metals &amp; Mining</v>
    <v>Stock</v>
    <v>43935.833333333336</v>
    <v>88</v>
    <v>10.16</v>
    <v>2256476000</v>
    <v>Equinox Gold Corp</v>
    <v>Equinox Gold Corp</v>
    <v>10.85</v>
    <v>10.45</v>
    <v>10.55</v>
    <v>215930700</v>
    <v>EQX</v>
    <v>Equinox Gold Corp (XTSE:EQX)</v>
    <v>2641712</v>
    <v>2007</v>
  </rv>
  <rv s="2">
    <v>152</v>
  </rv>
  <rv s="5">
    <v>en-US</v>
    <v>ab236h</v>
    <v>268435456</v>
    <v>268435457</v>
    <v>1</v>
    <v>Powered by Refinitiv</v>
    <v>5</v>
    <v>Yamana Gold Inc (XTSE:YRI)</v>
    <v>7</v>
    <v>8</v>
    <v>Finance</v>
    <v>4</v>
    <v>6.56</v>
    <v>2.41</v>
    <v>1.7847</v>
    <v>0.15</v>
    <v>2.5996999999999999E-2</v>
    <v>CAD</v>
    <v>Yamana Gold Inc. is a gold producer with gold production, gold development stage properties, exploration properties, and land positions throughout the Americas, including Canada, Brazil, Chile and Argentina. The Company's segments include El Penon mine in Chile; Canadian Malartic mine in Canada; Gualcamayo mine in Argentina; Minera Florida mine in Chile; Jacobina mine in Brazil; Brio Gold Inc. (Brio Gold), and Corporate and other. The Company's development projects include Cerro Moro, Argentina; Agua Rica, Argentina, and Gualcamayo, Argentina. Its exploration projects include El Penon, Chile; Gualcamayo, Argentina; Minera Florida, Chile; Jacobina, Brazil; Cerro Moro, Argentina; Canadian Malartic Corporation, Canada; Monument Bay, Canada; Brio Gold Exploration; Pilar, Brazil; Fazenda Brasileiro, Brazil; RDM, Brazil, and C1 Santa Luz, Brazil.</v>
    <v>5091</v>
    <v>Toronto Stock Exchange</v>
    <v>XTSE</v>
    <v>XTSE</v>
    <v>North Tower, 763 Bay St Suite 2200, TORONTO, ON, M5G 2R3 CA</v>
    <v>6.36</v>
    <v>97</v>
    <v>Metals &amp; Mining</v>
    <v>Stock</v>
    <v>43935.833333333336</v>
    <v>98</v>
    <v>5.71</v>
    <v>5471223000</v>
    <v>Yamana Gold Inc</v>
    <v>Yamana Gold Inc</v>
    <v>5.96</v>
    <v>19.22</v>
    <v>5.77</v>
    <v>5.92</v>
    <v>951629200</v>
    <v>YRI</v>
    <v>Yamana Gold Inc (XTSE:YRI)</v>
    <v>11375278</v>
    <v>1995</v>
  </rv>
  <rv s="2">
    <v>154</v>
  </rv>
  <rv s="1">
    <v>en-US</v>
    <v>aaxu1h</v>
    <v>268435456</v>
    <v>268435457</v>
    <v>1</v>
    <v>Powered by Refinitiv</v>
    <v>0</v>
    <v>Dundee Precious Metals Inc (XTSE:DPM)</v>
    <v>2</v>
    <v>3</v>
    <v>Finance</v>
    <v>4</v>
    <v>6.66</v>
    <v>3.2</v>
    <v>1.8499000000000001</v>
    <v>-0.13</v>
    <v>-2.1242E-2</v>
    <v>CAD</v>
    <v>Dundee Precious Metals Inc. is a gold mining company. The Company, through its subsidiaries, is engaged in the acquisition, exploration, development, mining and processing of precious metals. Its segments include Dundee Precious Metals Chelopech EAD (Chelopech) in Bulgaria, Dundee Precious Metals Tsumeb (Proprietary) Limited (Tsumeb) in Namibia, and Corporate and Other. The Corporate and Other segment includes exploration and development projects. Its subsidiaries include Chelopech, which owns and operates a gold, copper and silver mine located east of Sofia, Bulgaria; Dundee Precious Metals Krumovgrad EAD (Krumovgrad), which is engaged in the construction of a gold mine located in south eastern Bulgaria; Tsumeb, which owns and operates a custom smelter located in Tsumeb, Namibia, and Avala Resources Ltd., which is focused on the exploration and development of the Lenovac project, the Timok gold project, the Tulare copper and gold project and other early-stage projects in Serbia.</v>
    <v>2159</v>
    <v>Toronto Stock Exchange</v>
    <v>XTSE</v>
    <v>XTSE</v>
    <v>1 Adelaide St E Suite 500, TORONTO, ON, M5C 2V9 CA</v>
    <v>6.74</v>
    <v>Metals &amp; Mining</v>
    <v>Stock</v>
    <v>43935.846458333333</v>
    <v>50</v>
    <v>5.88</v>
    <v>1104887000</v>
    <v>Dundee Precious Metals Inc</v>
    <v>Dundee Precious Metals Inc</v>
    <v>6.13</v>
    <v>35.9</v>
    <v>6.12</v>
    <v>5.99</v>
    <v>180537000</v>
    <v>DPM</v>
    <v>Dundee Precious Metals Inc (XTSE:DPM)</v>
    <v>907266</v>
    <v>1983</v>
  </rv>
  <rv s="2">
    <v>156</v>
  </rv>
  <rv s="1">
    <v>en-US</v>
    <v>ab1fbh</v>
    <v>268435456</v>
    <v>268435457</v>
    <v>1</v>
    <v>Powered by Refinitiv</v>
    <v>0</v>
    <v>Teranga Gold Corp (XTSE:TGZ)</v>
    <v>2</v>
    <v>3</v>
    <v>Finance</v>
    <v>4</v>
    <v>9.65</v>
    <v>2.97</v>
    <v>0.54359999999999997</v>
    <v>0.14000000000000001</v>
    <v>1.4721E-2</v>
    <v>CAD</v>
    <v>Teranga Gold Corp is a Canada-based mining company. The Company is engaged in the production, sale and exploration of gold in Senegal, West Africa. The Company owns and operates a gold mine and mill, the Sabodala Gold mine, in Senegal, West Africa. The Company is focused on the exploration and development of Sabodala gold mine, which is located approximately 650 kilometers southeast of Dakar, the capital of Senegal. The Sabodala mine license covers an area of approximately 290 square kilometers. The Company's project includes approximately nine exploration permits, which cover an area of approximately 1,000 square kilometers. The Company's mine license and land package is located on a West African Birimian greenstone belt.</v>
    <v>2300</v>
    <v>Toronto Stock Exchange</v>
    <v>XTSE</v>
    <v>XTSE</v>
    <v>77 King St W Suite 2110, TORONTO, ON, M5K 2A1 CA</v>
    <v>10.3</v>
    <v>Metals &amp; Mining</v>
    <v>Stock</v>
    <v>43935.833333333336</v>
    <v>68</v>
    <v>9.3000000000000007</v>
    <v>1587534000</v>
    <v>Teranga Gold Corp</v>
    <v>Teranga Gold Corp</v>
    <v>9.65</v>
    <v>74.02</v>
    <v>9.51</v>
    <v>9.65</v>
    <v>167533500</v>
    <v>TGZ</v>
    <v>Teranga Gold Corp (XTSE:TGZ)</v>
    <v>1637950</v>
    <v>2010</v>
  </rv>
  <rv s="2">
    <v>158</v>
  </rv>
  <rv s="10">
    <v>en-US</v>
    <v>aazpw7</v>
    <v>268435456</v>
    <v>268435457</v>
    <v>1</v>
    <v>Powered by Refinitiv</v>
    <v>19</v>
    <v>Pretium Resources Inc (XTSE:PVG)</v>
    <v>2</v>
    <v>20</v>
    <v>Finance</v>
    <v>4</v>
    <v>18.295000000000002</v>
    <v>6.25</v>
    <v>1.0898000000000001</v>
    <v>-0.06</v>
    <v>-5.4549999999999998E-3</v>
    <v>CAD</v>
    <v>Pretium Resources Inc. is engaged in the acquisition, exploration, development and operation of precious metal resource properties in the Americas. The Company’s assets include Brucejack mine, Snowfield Property, Bowser Claims and the Porphyry Potential Deep Drilling (PPDD) Project. The Brucejack Property is located in northwestern British Columbia, approximately 65 kilometers (km) north of Stewart and is comprised of four mining leases and six mineral claims totaling approximately 3,306 hectares in area and forms part of its total claims package that comprises over 122,000 hectares. Snowfield Property borders Brucejack Mine to the north and is comprised of one mineral claim with an area of approximately 1,217 hectares. The Bowser Property is located southeast of the Brucejack Mine and comprises 1,220 square km. The PPDD Project is a deep underground exploration program involving the testing of the extent of Brucejack-style mineralization.</v>
    <v>Toronto Stock Exchange</v>
    <v>XTSE</v>
    <v>XTSE</v>
    <v>1055 Dunsmuir Street Suite 2300, PO Box 49334 Stn Bentall Centre, VANCOUVER, BC, V7X 1L4 CA</v>
    <v>11.77</v>
    <v>Metals &amp; Mining</v>
    <v>Stock</v>
    <v>43935.833333333336</v>
    <v>65</v>
    <v>10.61</v>
    <v>2039238000</v>
    <v>Pretium Resources Inc</v>
    <v>Pretium Resources Inc</v>
    <v>11.23</v>
    <v>38.64</v>
    <v>11</v>
    <v>10.94</v>
    <v>185385300</v>
    <v>PVG</v>
    <v>Pretium Resources Inc (XTSE:PVG)</v>
    <v>1029446</v>
    <v>2010</v>
  </rv>
  <rv s="2">
    <v>160</v>
  </rv>
  <rv s="8">
    <v>en-US</v>
    <v>aaypsm</v>
    <v>268435456</v>
    <v>268435457</v>
    <v>1</v>
    <v>Powered by Refinitiv</v>
    <v>14</v>
    <v>Harte Gold Corp (XTSE:HRT)</v>
    <v>2</v>
    <v>15</v>
    <v>Finance</v>
    <v>4</v>
    <v>0.35</v>
    <v>7.4999999999999997E-2</v>
    <v>1.7733000000000001</v>
    <v>0</v>
    <v>0</v>
    <v>CAD</v>
    <v xml:space="preserve">Harte Gold Corp is a Canada-based company engaged in the acquisition, exploration and development of mineral resource properties with a focus on gold properties located in the Province of Ontario. It has interests in gold exploration projects, including Sugar Zone Property, which is located approximately 80 kilometers east of the Hemlo area gold mines and northeast of the town of White River, and the Stoughton-Abitibi Property, which is located over 110 kilometers east of Timmins and approximately 50 kilometers north-east of Kirkland Lake. Its exploration activities are focused on the Sugar Zone Property, which comprises approximately 83.850 hectares and covers an entire greenstone belt. The Company has conducted various diamond drill and other exploration programs on its properties. </v>
    <v>92</v>
    <v>Toronto Stock Exchange</v>
    <v>XTSE</v>
    <v>XTSE</v>
    <v>8 King St E Suite 1700, TORONTO, ON, M5C 1B5 CA</v>
    <v>0.125</v>
    <v>Metals &amp; Mining</v>
    <v>Stock</v>
    <v>43935.830057870371</v>
    <v>32</v>
    <v>0.115</v>
    <v>97313830</v>
    <v>Harte Gold Corp</v>
    <v>Harte Gold Corp</v>
    <v>0.12</v>
    <v>0.115</v>
    <v>0.115</v>
    <v>846207200</v>
    <v>HRT</v>
    <v>Harte Gold Corp (XTSE:HRT)</v>
    <v>559648</v>
    <v>1982</v>
  </rv>
  <rv s="2">
    <v>162</v>
  </rv>
  <rv s="11">
    <v>en-US</v>
    <v>ab64bh</v>
    <v>268435456</v>
    <v>268435457</v>
    <v>1</v>
    <v>Powered by Refinitiv</v>
    <v>21</v>
    <v>Victoria Gold Corp (XTSE:VGCX)</v>
    <v>2</v>
    <v>22</v>
    <v>Finance</v>
    <v>4</v>
    <v>9.9</v>
    <v>4.0199999999999996</v>
    <v>1.4756</v>
    <v>-0.08</v>
    <v>-9.9380000000000007E-3</v>
    <v>CAD</v>
    <v>Victoria Gold Corp. is an exploration and development-stage company. The Company is engaged in the acquisition, evaluation, exploration and development of mineral properties. The Company's segments include corporate, Canada and the United States. The Company owns Dublin Gulch property, which hosts the Eagle Gold Deposit. Dublin Gulch is located in central Yukon Territory, Canada, approximately 370 kilometers north of the capital city of Whitehorse and approximately 80 kilometers from the town of Mayo. The property covers an area of approximately 550 square kilometers. The Dublin Gulch property also includes the Wolf Tungsten Deposit, the Potato Hills Trend, including the Olive, Shamrock and Nugget targets, NND Cat B land and other targets. The Company's other properties include interests in Donjek, Aurex, Canalask, and Clear Creek in Yukon Territory and Island Mountain in Nevada. The Company has not generated any revenues from its properties.</v>
    <v>Toronto Stock Exchange</v>
    <v>XTSE</v>
    <v>XTSE</v>
    <v>80 Richmond St W Suite 303, TORONTO, ON, M5H 2A4 CA</v>
    <v>8.1999999999999993</v>
    <v>Metals &amp; Mining</v>
    <v>Stock</v>
    <v>43935.833321759259</v>
    <v>47</v>
    <v>7.8</v>
    <v>469943900</v>
    <v>Victoria Gold Corp</v>
    <v>Victoria Gold Corp</v>
    <v>8</v>
    <v>8.0500000000000007</v>
    <v>7.97</v>
    <v>58378130</v>
    <v>VGCX</v>
    <v>Victoria Gold Corp (XTSE:VGCX)</v>
    <v>140550</v>
    <v>1981</v>
  </rv>
  <rv s="2">
    <v>164</v>
  </rv>
  <rv s="9">
    <v>en-US</v>
    <v>ab1gxm</v>
    <v>268435456</v>
    <v>268435457</v>
    <v>1</v>
    <v>Powered by Refinitiv</v>
    <v>17</v>
    <v>TMAC Resources Inc (XTSE:TMR)</v>
    <v>2</v>
    <v>18</v>
    <v>Finance</v>
    <v>4</v>
    <v>6.95</v>
    <v>0.44</v>
    <v>2.9289999999999998</v>
    <v>0.19</v>
    <v>0.17272699999999999</v>
    <v>CAD</v>
    <v>TMAC Resources, Inc. is a Canada-based gold producer. The Company is involved in the exploration, evaluation and development of the Hope Bay mineral property in the Kitikmeot Region of Nunavut, Canada (Hope Bay Project). Approximately 1,100 square kilometer Hope Bay Project gold deposit has approximately 4.5 million ounces of gold at an average grade of approximately 9.2 grams per ton gold (g/t Au), Inferred Mineral Resources totaling approximately 1.4 million ounces of gold at an average grade of 7.4 g/t Au and proven and probable mineral reserves totaling approximately 3.5 million ounces of gold at an average grade of 7.7 g/t Au.</v>
    <v>254</v>
    <v>Toronto Stock Exchange</v>
    <v>XTSE</v>
    <v>XTSE</v>
    <v>95 Wellington St W Suite 1010, P.O. Box 44, TORONTO, ON, M5J 2N7 CA</v>
    <v>1.37</v>
    <v>Metals &amp; Mining</v>
    <v>Stock</v>
    <v>43935.833333333336</v>
    <v>38</v>
    <v>1.1399999999999999</v>
    <v>126838600</v>
    <v>TMAC Resources Inc</v>
    <v>TMAC Resources Inc</v>
    <v>1.19</v>
    <v>55.01</v>
    <v>1.1000000000000001</v>
    <v>1.29</v>
    <v>115307800</v>
    <v>TMR</v>
    <v>TMAC Resources Inc (XTSE:TMR)</v>
    <v>1271742</v>
  </rv>
  <rv s="2">
    <v>166</v>
  </rv>
  <rv s="0">
    <v>https://www.bing.com/financeapi/forcetrigger?t=auvwoc&amp;q=Gold&amp;form=skydnc</v>
    <v>Learn more on Bing</v>
  </rv>
  <rv s="13">
    <v>en-US</v>
    <v>auvwoc</v>
    <v>268435456</v>
    <v>268435464</v>
    <v>1</v>
    <v>Powered by Refinitiv</v>
    <v>26</v>
    <v>Gold</v>
    <v>27</v>
    <v>28</v>
    <v>Finance</v>
    <v>Metal</v>
    <v>-29</v>
    <v>-1.6393999999999999E-2</v>
    <v>US</v>
    <v>USD</v>
    <v>43830</v>
    <v>Future</v>
    <v>43936.309881678128</v>
    <v>168</v>
    <v>12</v>
    <v>Gold</v>
    <v>1739.9</v>
    <v>@GC0Y</v>
    <v>OZS</v>
    <v>Gold</v>
    <v>2019</v>
  </rv>
  <rv s="2">
    <v>169</v>
  </rv>
  <rv s="0">
    <v>https://www.bing.com/financeapi/forcetrigger?t=auvwww&amp;q=Copper&amp;form=skydnc</v>
    <v>Learn more on Bing</v>
  </rv>
  <rv s="13">
    <v>en-US</v>
    <v>auvwww</v>
    <v>268435456</v>
    <v>268435464</v>
    <v>1</v>
    <v>Powered by Refinitiv</v>
    <v>26</v>
    <v>Copper</v>
    <v>27</v>
    <v>28</v>
    <v>Finance</v>
    <v>Metal</v>
    <v>-3.2000000000000001E-2</v>
    <v>-1.3736999999999999E-2</v>
    <v>US</v>
    <v>USD</v>
    <v>43830</v>
    <v>Future</v>
    <v>43936.309516678128</v>
    <v>171</v>
    <v>12</v>
    <v>Copper</v>
    <v>2.2974999999999999</v>
    <v>@HG0Y</v>
    <v>LBS</v>
    <v>Copper</v>
    <v>2019</v>
  </rv>
  <rv s="2">
    <v>172</v>
  </rv>
  <rv s="14">
    <v>en-US</v>
    <v>bpucrw</v>
    <v>268435456</v>
    <v>268435457</v>
    <v>0</v>
    <v>Powered by Refinitiv</v>
    <v>29</v>
    <v>Newmont Corporation (XTSE:NGT)</v>
    <v>7</v>
    <v>30</v>
    <v>Finance</v>
    <v>31</v>
    <v>82.54</v>
    <v>40.01</v>
    <v>0.2656</v>
    <v>2.79</v>
    <v>0</v>
    <v>3.4984000000000001E-2</v>
    <v>0</v>
    <v>CAD</v>
    <v>Newmont Corporation, formerly Newmont Goldcorp Corp, is a mining company, which is focused on the production of and exploration for gold, copper, silver, zinc and lead. It is primarily a gold producer with operations and/or assets in the United States, Australia, Peru, Ghana and Suriname. The Company's segments include North America, South America, Asia Pacific and Africa. Its North America segment consists primarily of Carlin, Phoenix, Twin Creeks and Long Canyon in the state of Nevada, and Cripple Creek &amp;Victor (CC&amp;V) in the state of Colorado, in the United States. Its South America segment consists primarily of Yanacocha in Peru and Merian in Suriname. Its Asia Pacific segment consists primarily of Boddington, Tanami and Kalgoorlie in Australia. The Company's Africa segment consists primarily of Ahafo and Akyem in Ghana. As of December 31, 2016, it had gold reserves of 68.5 million ounces and an aggregate land position of approximately 23,000 square miles (59,000 square kilometers).</v>
    <v>16600</v>
    <v>Toronto Stock Exchange</v>
    <v>XTSE</v>
    <v>XTSE</v>
    <v>6363 S Fiddlers Green Cir, GREENWOOD VILLAGE, CO, 80111 US</v>
    <v>84.2</v>
    <v>122</v>
    <v>Metals &amp; Mining</v>
    <v>Stock</v>
    <v>43934.833333333336</v>
    <v>123</v>
    <v>78.86</v>
    <v>46294300000</v>
    <v>Newmont Corporation</v>
    <v>Newmont Corporation</v>
    <v>79.88</v>
    <v>17.18</v>
    <v>79.75</v>
    <v>82.54</v>
    <v>82.54</v>
    <v>807787500</v>
    <v>NGT</v>
    <v>Newmont Corporation (XTSE:NGT)</v>
    <v>194244</v>
    <v>2001</v>
  </rv>
  <rv s="2">
    <v>174</v>
  </rv>
  <rv s="15">
    <v>en-US</v>
    <v>aayzfr</v>
    <v>268435456</v>
    <v>268435457</v>
    <v>0</v>
    <v>Powered by Refinitiv</v>
    <v>32</v>
    <v>Kirkland Lake Gold Ltd (XTSE:KL)</v>
    <v>2</v>
    <v>33</v>
    <v>Finance</v>
    <v>31</v>
    <v>67.87</v>
    <v>25.67</v>
    <v>0.75480000000000003</v>
    <v>3.08</v>
    <v>0</v>
    <v>6.1464999999999999E-2</v>
    <v>0</v>
    <v>CAD</v>
    <v>Kirkland Lake Gold Ltd is a Canada-based gold mining, development and exploration company. It has a diversified portfolio of assets located in the stable mining jurisdictions of Canada and Australia. The Company’s main gold mines are: the Macassa Mine located in northeastern Ontario, Detour Lake mines in Northern Ontario and the Fosterville Gold Mine located in the State of Victoria, Australia. In addition, the Company owns the Holt Mine and the Taylor Mine, which are situated along the Porcupine-Destor Fault Zone, in northeastern Ontario, the Cosmo Gold Mine located in the Northern Territory, Australia and the Stawell Gold Mine located in the State of Victoria, Australia. The Company’s subsidiaries include Crocodile Gold Inc, Detour Gold Corporation and Franc-Or Resources Peru SA.</v>
    <v>1729</v>
    <v>Toronto Stock Exchange</v>
    <v>XTSE</v>
    <v>XTSE</v>
    <v>200 Bay Street, Suite 3120, TORONTO, ON, M5J 2J1 CA</v>
    <v>53.53</v>
    <v>Metals &amp; Mining</v>
    <v>Stock</v>
    <v>43934.833333333336</v>
    <v>107</v>
    <v>48.05</v>
    <v>14341740000</v>
    <v>Kirkland Lake Gold Ltd</v>
    <v>Kirkland Lake Gold Ltd</v>
    <v>50.86</v>
    <v>14.58</v>
    <v>50.11</v>
    <v>53.19</v>
    <v>53.19</v>
    <v>286635900</v>
    <v>KL</v>
    <v>Kirkland Lake Gold Ltd (XTSE:KL)</v>
    <v>2349842</v>
    <v>2015</v>
  </rv>
  <rv s="2">
    <v>176</v>
  </rv>
  <rv s="15">
    <v>en-US</v>
    <v>aawqc7</v>
    <v>268435456</v>
    <v>268435457</v>
    <v>0</v>
    <v>Powered by Refinitiv</v>
    <v>32</v>
    <v>Agnico Eagle Mines Ltd (XTSE:AEM)</v>
    <v>2</v>
    <v>33</v>
    <v>Finance</v>
    <v>31</v>
    <v>86.39</v>
    <v>43.25</v>
    <v>0.57340000000000002</v>
    <v>3.33</v>
    <v>0</v>
    <v>4.8605999999999996E-2</v>
    <v>0</v>
    <v>CAD</v>
    <v>Agnico Eagle Mines Limited (Agnico Eagle) is an international gold producer with operating mines in Canada, Finland and Mexico and exploration and development activities in each of these countries as well as in the United States and Sweden. The Company operates through three business units: Northern Business, Southern Business and Exploration. Northern Business is comprised of the Company's operations in Canada and Finland. The Company's Canadian properties include the LaRonde Complex, the Goldex mine, the Meadowbank Complex and the Meliadine mine. The Company's Southern Business is comprised of the Company's operations in Mexico. The Company's Exploration group focuses primarily on the identification and evaluation of new mineral reserves and mineral resources and new development opportunities in gold producing regions. Its exploration activities are concentrated in Canada, the United States, Mexico, Finland and Sweden.</v>
    <v>6193</v>
    <v>Toronto Stock Exchange</v>
    <v>XTSE</v>
    <v>XTSE</v>
    <v>145 King St E Suite 400, TORONTO, ON, M5C 2Y7 CA</v>
    <v>72.13</v>
    <v>Metals &amp; Mining</v>
    <v>Stock</v>
    <v>43934.833333333336</v>
    <v>110</v>
    <v>66.97</v>
    <v>16429860000</v>
    <v>Agnico Eagle Mines Ltd</v>
    <v>Agnico Eagle Mines Ltd</v>
    <v>68.73</v>
    <v>26.73</v>
    <v>68.510000000000005</v>
    <v>71.84</v>
    <v>71.84</v>
    <v>240848200</v>
    <v>AEM</v>
    <v>Agnico Eagle Mines Ltd (XTSE:AEM)</v>
    <v>746635</v>
    <v>1972</v>
  </rv>
  <rv s="2">
    <v>178</v>
  </rv>
  <rv s="15">
    <v>en-US</v>
    <v>aawpa2</v>
    <v>268435456</v>
    <v>268435457</v>
    <v>0</v>
    <v>Powered by Refinitiv</v>
    <v>32</v>
    <v>Barrick Gold Corp (XTSE:ABX)</v>
    <v>2</v>
    <v>33</v>
    <v>Finance</v>
    <v>31</v>
    <v>33.79</v>
    <v>15.72</v>
    <v>0.1056</v>
    <v>2.31</v>
    <v>0</v>
    <v>7.3380000000000001E-2</v>
    <v>0</v>
    <v>CAD</v>
    <v>Barrick Gold Corp is a gold mining company. The Company is principally engaged in the production and sale of gold and copper, as well as related activities, such as exploration and mine development. The Company's segments include Barrick Nevada, Golden Sunlight, Hemlo, Jabal Sayid, Lagunas Norte, Lumwana, Porgera, Pueblo Viejo, Turquoise Ridge, Veladero and Zaldvar. Pueblo Viejo, Lagunas Norte, Veladero and Turquoise Ridge are its individual gold mines. The Company, through its subsidiary Acacia, owns gold mines and exploration properties in Africa. Its Porgera is a gold mine. Zaldivar and Lumwana are copper mines. The Pascua-Lama project is located on the border between Chile and Argentina. The Company owns a number of producing gold mines, which are located in Canada, the United States, Peru, Argentina, Australia and the Dominican Republic.</v>
    <v>22100</v>
    <v>Toronto Stock Exchange</v>
    <v>XTSE</v>
    <v>XTSE</v>
    <v>Canada Trust Tower, 161 Bay St Suite 3700, TORONTO, ON, M5J 2S1 CA</v>
    <v>34.49</v>
    <v>Metals &amp; Mining</v>
    <v>Stock</v>
    <v>43934.833333333336</v>
    <v>29</v>
    <v>31.1</v>
    <v>55888410000</v>
    <v>Barrick Gold Corp</v>
    <v>Barrick Gold Corp</v>
    <v>31.45</v>
    <v>10.77</v>
    <v>31.48</v>
    <v>33.79</v>
    <v>33.79</v>
    <v>1778035000</v>
    <v>ABX</v>
    <v>Barrick Gold Corp (XTSE:ABX)</v>
    <v>4848893</v>
    <v>2018</v>
  </rv>
  <rv s="2">
    <v>180</v>
  </rv>
  <rv s="15">
    <v>en-US</v>
    <v>aay9k2</v>
    <v>268435456</v>
    <v>268435457</v>
    <v>0</v>
    <v>Powered by Refinitiv</v>
    <v>32</v>
    <v>Franco-Nevada Corp (XTSE:FNV)</v>
    <v>2</v>
    <v>33</v>
    <v>Finance</v>
    <v>31</v>
    <v>168.99</v>
    <v>93.24</v>
    <v>0.34339999999999998</v>
    <v>9.84</v>
    <v>0</v>
    <v>6.1828000000000001E-2</v>
    <v>0</v>
    <v>CAD</v>
    <v>Franco-Nevada Corporation (Franco-Nevada) is a gold-focused royalty and stream company. The Company owns a portfolio of royalty, stream and working interests, covering properties at various stages, from production to early exploration, in Latin America, United States, Canada, Australia and Africa. The Company is engaged in the management and acquisition of royalties, streams and working interests in the mining and energy sectors. Its properties in Latin America include Cobre Panama, Candelaria, Antapaccay, Guadalupe-Palmarejo, Salares Norte and Cerro San Pedro. Its properties in Canada include Sudbury, Detour Lake, Golden Highway, Hemlo, Canadian Malartic and Brucejack. Its properties in the United States include Goldstrike, Marigold, EaglePicher, Sandman, Castle Mountain, Hollister and Bald Mountain.</v>
    <v>38</v>
    <v>Toronto Stock Exchange</v>
    <v>XTSE</v>
    <v>XTSE</v>
    <v>199 Bay Street, Suite 2000, Commerce Court West, TORONTO, ON, M5L 1G9 CA</v>
    <v>170.55</v>
    <v>Metals &amp; Mining</v>
    <v>Stock</v>
    <v>43934.833333333336</v>
    <v>3</v>
    <v>157.44</v>
    <v>30099570000</v>
    <v>Franco-Nevada Corp</v>
    <v>Franco-Nevada Corp</v>
    <v>159.36000000000001</v>
    <v>67.03</v>
    <v>159.15</v>
    <v>168.99</v>
    <v>168.99</v>
    <v>189411700</v>
    <v>FNV</v>
    <v>Franco-Nevada Corp (XTSE:FNV)</v>
    <v>532490</v>
    <v>2008</v>
  </rv>
  <rv s="2">
    <v>182</v>
  </rv>
  <rv s="15">
    <v>en-US</v>
    <v>aaxfz2</v>
    <v>268435456</v>
    <v>268435457</v>
    <v>0</v>
    <v>Powered by Refinitiv</v>
    <v>32</v>
    <v>Centerra Gold Inc (XTSE:CG)</v>
    <v>2</v>
    <v>33</v>
    <v>Finance</v>
    <v>31</v>
    <v>13</v>
    <v>5.52</v>
    <v>0.29699999999999999</v>
    <v>0.5</v>
    <v>0</v>
    <v>5.3936999999999999E-2</v>
    <v>0</v>
    <v>CAD</v>
    <v>Centerra Gold Inc. is a Canada-based gold mining company engaged in operating, developing, acquiring and exploring gold properties in North America, Asia and other markets across the world. The Company’s Kyrgyz Republic segment includes the operations of the Kumtor Gold Project. Its Turkish segment represents the development of the oksut Project. Its North America Gold Copper segment represents the operations of the Mount Milligan Mine. The Company’s North America Molybdenum segment includes the operations of the Langeloth processing facility and care and maintenance activities of the Endako and Thompson Creek Mines. The Company’s Corporate and other segment includes the Greenstone Gold Property, the Kemess Project and other exploration projects. The Company’s Kemess Project is a brownfield project in northern British Columbia, Canada.</v>
    <v>3650</v>
    <v>Toronto Stock Exchange</v>
    <v>XTSE</v>
    <v>XTSE</v>
    <v>1 University Ave Suite 1500, TORONTO, ON, M5J 2P1 CA</v>
    <v>9.84</v>
    <v>Metals &amp; Mining</v>
    <v>Stock</v>
    <v>43934.833333333336</v>
    <v>16</v>
    <v>8.59</v>
    <v>2718419000</v>
    <v>Centerra Gold Inc</v>
    <v>Centerra Gold Inc</v>
    <v>9.3000000000000007</v>
    <v>15.99</v>
    <v>9.27</v>
    <v>9.77</v>
    <v>9.77</v>
    <v>293690500</v>
    <v>CG</v>
    <v>Centerra Gold Inc (XTSE:CG)</v>
    <v>1941131</v>
    <v>2002</v>
  </rv>
  <rv s="2">
    <v>184</v>
  </rv>
  <rv s="16">
    <v>en-US</v>
    <v>a1nxu2</v>
    <v>268435456</v>
    <v>268435457</v>
    <v>0</v>
    <v>Powered by Refinitiv</v>
    <v>34</v>
    <v>AngloGold Ashanti Ltd (XNYS:AU)</v>
    <v>2</v>
    <v>35</v>
    <v>Finance</v>
    <v>36</v>
    <v>23.85</v>
    <v>11.29</v>
    <v>-4.8099999999999997E-2</v>
    <v>1.23</v>
    <v>1.2769999999999998E-2</v>
    <v>5.7263000000000001E-2</v>
    <v>0.28999999999999998</v>
    <v>USD</v>
    <v>AngloGold Ashanti Limited (AngloGold Ashanti) is a gold mining company. The Company's business activities span the spectrum of the mining value chain. Its main product is gold. Its portfolio includes over 17 mines in approximately nine countries. It also produces silver, uranium and sulfuric acid as by-products. The Company operates through four segments: South Africa, Continental Africa, Australasia and Americas. Its South African operations comprise of the West Wits operations, including Mponeng and TauTona, and surface operations. It has operations in Continental Africa in locations, including Democratic Republic of the Congo, Ghana, Guinea, Mali and Tanzania. The Australasia segment includes the operations in Australia. It consists of Sunrise Dam and Tropicana. The Americas segment includes the operations in Argentina, Brazil and the United States.</v>
    <v>34263</v>
    <v>New York Stock Exchange</v>
    <v>XNYS</v>
    <v>XNYS</v>
    <v>76 Jeppe Street, Newtown, 2001, Po Box 62117 Marshalltown 2107, JOHANNESBURG, GAUTENG, 2001 ZA</v>
    <v>22.99</v>
    <v>Metals &amp; Mining</v>
    <v>Stock</v>
    <v>43934.920207175783</v>
    <v>115</v>
    <v>20.329999999999998</v>
    <v>8714438000</v>
    <v>AngloGold Ashanti Ltd</v>
    <v>AngloGold Ashanti Ltd</v>
    <v>21.48</v>
    <v>23.704899999999999</v>
    <v>21.48</v>
    <v>22.71</v>
    <v>23</v>
    <v>416340700</v>
    <v>AU</v>
    <v>AngloGold Ashanti Ltd (XNYS:AU)</v>
    <v>3836377</v>
    <v>5322320</v>
    <v>1944</v>
  </rv>
  <rv s="2">
    <v>186</v>
  </rv>
  <rv s="17">
    <v>en-US</v>
    <v>aayym7</v>
    <v>268435456</v>
    <v>268435457</v>
    <v>0</v>
    <v>Powered by Refinitiv</v>
    <v>37</v>
    <v>Kinross Gold Corp (XTSE:K)</v>
    <v>7</v>
    <v>38</v>
    <v>Finance</v>
    <v>31</v>
    <v>8.67</v>
    <v>4</v>
    <v>0.98340000000000005</v>
    <v>0.81</v>
    <v>0</v>
    <v>0.10305300000000001</v>
    <v>0</v>
    <v>CAD</v>
    <v xml:space="preserve">Kinross Gold Corporation is a gold mining company. The Company is engaged in gold mining and related activities, including exploration and acquisition of gold-bearing properties, the extraction and processing of gold-containing ore, and reclamation of gold mining properties. The Company's segments include Fort Knox, Round Mountain, Bald Mountain, Paracatu, Kupol, Maricunga, Tasiast and Chirano. Fort Knox is an open-pit gold mine located in Fairbanks, Alaska. Round Mountain open-pit mine is located in Nye County, Nevada. Bald Mountain open-pit mine is located in Nevada. The Company’s gold production and exploration activities are carried out principally in Canada, the United States, the Russian Federation, Brazil, Chile, Ghana and Mauritania. Gold is produced in the form of dore, which is shipped to refineries for final processing. Kinross also produces and sells a quantity of silver. </v>
    <v>9135</v>
    <v>Toronto Stock Exchange</v>
    <v>XTSE</v>
    <v>XTSE</v>
    <v>25 York St 17th Floor, TORONTO, ON, M5J 2V5 CA</v>
    <v>8.8000000000000007</v>
    <v>25</v>
    <v>Metals &amp; Mining</v>
    <v>Stock</v>
    <v>43934.833333333336</v>
    <v>26</v>
    <v>7.57</v>
    <v>9866788000</v>
    <v>Kinross Gold Corp</v>
    <v>Kinross Gold Corp</v>
    <v>7.88</v>
    <v>10.64</v>
    <v>7.86</v>
    <v>8.67</v>
    <v>8.67</v>
    <v>1257206000</v>
    <v>K</v>
    <v>Kinross Gold Corp (XTSE:K)</v>
    <v>6089265</v>
  </rv>
  <rv s="2">
    <v>188</v>
  </rv>
  <rv s="14">
    <v>en-US</v>
    <v>aaxazr</v>
    <v>268435456</v>
    <v>268435457</v>
    <v>0</v>
    <v>Powered by Refinitiv</v>
    <v>29</v>
    <v>B2Gold Corp (XTSE:BTO)</v>
    <v>7</v>
    <v>30</v>
    <v>Finance</v>
    <v>31</v>
    <v>6.51</v>
    <v>3.12</v>
    <v>1.2515000000000001</v>
    <v>0.6</v>
    <v>0</v>
    <v>0.10416700000000001</v>
    <v>0</v>
    <v>CAD</v>
    <v>B2Gold Corp. (B2Gold) is a Canada-based gold producer with approximately four operating mines and one mine under construction. The Company has a portfolio of other evaluation and exploration projects in various countries, including Mali, Colombia, Burkina Faso, Finland and Chile. Its material mineral properties consist of three mines and one mine under construction: Otjikoto mine, an open pit gold mine located approximately 300 kilometers north of Windhoek, the capital of Namibia (Otjikoto Mine); Masbate mine, an open pit gold mine, located near the northern tip of the island of Masbate, over 360 kilometers south-east of Manila (Masbate Gold Project) and Fekola gold project, an open pit gold mine under construction located approximately 40 kilometers south of the city of Kenieba, Mali (Fekola Project).</v>
    <v>4217</v>
    <v>Toronto Stock Exchange</v>
    <v>XTSE</v>
    <v>XTSE</v>
    <v>595 Burrard Street, Suite 3100, VANCOUVER, BC, V7x 1J1 CA</v>
    <v>6.4</v>
    <v>103</v>
    <v>Metals &amp; Mining</v>
    <v>Stock</v>
    <v>43934.833333333336</v>
    <v>104</v>
    <v>5.48</v>
    <v>5926184000</v>
    <v>B2Gold Corp</v>
    <v>B2Gold Corp</v>
    <v>5.84</v>
    <v>15.95</v>
    <v>5.76</v>
    <v>6.36</v>
    <v>6.36</v>
    <v>1030400000</v>
    <v>BTO</v>
    <v>B2Gold Corp (XTSE:BTO)</v>
    <v>9496700</v>
    <v>2006</v>
  </rv>
  <rv s="2">
    <v>190</v>
  </rv>
  <rv s="14">
    <v>en-US</v>
    <v>ab236h</v>
    <v>268435456</v>
    <v>268435457</v>
    <v>0</v>
    <v>Powered by Refinitiv</v>
    <v>29</v>
    <v>Yamana Gold Inc (XTSE:YRI)</v>
    <v>7</v>
    <v>30</v>
    <v>Finance</v>
    <v>31</v>
    <v>6.56</v>
    <v>2.41</v>
    <v>1.6396999999999999</v>
    <v>0.53</v>
    <v>0</v>
    <v>0.101145</v>
    <v>0</v>
    <v>CAD</v>
    <v>Yamana Gold Inc. is a gold producer with gold production, gold development stage properties, exploration properties, and land positions throughout the Americas, including Canada, Brazil, Chile and Argentina. The Company's segments include El Penon mine in Chile; Canadian Malartic mine in Canada; Gualcamayo mine in Argentina; Minera Florida mine in Chile; Jacobina mine in Brazil; Brio Gold Inc. (Brio Gold), and Corporate and other. The Company's development projects include Cerro Moro, Argentina; Agua Rica, Argentina, and Gualcamayo, Argentina. Its exploration projects include El Penon, Chile; Gualcamayo, Argentina; Minera Florida, Chile; Jacobina, Brazil; Cerro Moro, Argentina; Canadian Malartic Corporation, Canada; Monument Bay, Canada; Brio Gold Exploration; Pilar, Brazil; Fazenda Brasileiro, Brazil; RDM, Brazil, and C1 Santa Luz, Brazil.</v>
    <v>5091</v>
    <v>Toronto Stock Exchange</v>
    <v>XTSE</v>
    <v>XTSE</v>
    <v>North Tower, 763 Bay St Suite 2200, TORONTO, ON, M5G 2R3 CA</v>
    <v>5.78</v>
    <v>97</v>
    <v>Metals &amp; Mining</v>
    <v>Stock</v>
    <v>43934.833333333336</v>
    <v>98</v>
    <v>4.9800000000000004</v>
    <v>4979042000</v>
    <v>Yamana Gold Inc</v>
    <v>Yamana Gold Inc</v>
    <v>5.29</v>
    <v>17.010000000000002</v>
    <v>5.24</v>
    <v>5.77</v>
    <v>5.77</v>
    <v>951629200</v>
    <v>YRI</v>
    <v>Yamana Gold Inc (XTSE:YRI)</v>
    <v>10153481</v>
    <v>1995</v>
  </rv>
  <rv s="2">
    <v>192</v>
  </rv>
  <rv s="18">
    <v>en-US</v>
    <v>aazpw7</v>
    <v>268435456</v>
    <v>268435457</v>
    <v>0</v>
    <v>Powered by Refinitiv</v>
    <v>39</v>
    <v>Pretium Resources Inc (XTSE:PVG)</v>
    <v>2</v>
    <v>40</v>
    <v>Finance</v>
    <v>31</v>
    <v>18.295000000000002</v>
    <v>6.25</v>
    <v>0.96740000000000004</v>
    <v>0.9</v>
    <v>0</v>
    <v>8.9108999999999994E-2</v>
    <v>0</v>
    <v>CAD</v>
    <v>Pretium Resources Inc. is engaged in the acquisition, exploration, development and operation of precious metal resource properties in the Americas. The Company’s assets include Brucejack mine, Snowfield Property, Bowser Claims and the Porphyry Potential Deep Drilling (PPDD) Project. The Brucejack Property is located in northwestern British Columbia, approximately 65 kilometers (km) north of Stewart and is comprised of four mining leases and six mineral claims totaling approximately 3,306 hectares in area and forms part of its total claims package that comprises over 122,000 hectares. Snowfield Property borders Brucejack Mine to the north and is comprised of one mineral claim with an area of approximately 1,217 hectares. The Bowser Property is located southeast of the Brucejack Mine and comprises 1,220 square km. The PPDD Project is a deep underground exploration program involving the testing of the extent of Brucejack-style mineralization.</v>
    <v>Toronto Stock Exchange</v>
    <v>XTSE</v>
    <v>XTSE</v>
    <v>1055 Dunsmuir Street Suite 2300, PO Box 49334 Stn Bentall Centre, VANCOUVER, BC, V7X 1L4 CA</v>
    <v>11.21</v>
    <v>Metals &amp; Mining</v>
    <v>Stock</v>
    <v>43934.833333333336</v>
    <v>65</v>
    <v>9.73</v>
    <v>1864374000</v>
    <v>Pretium Resources Inc</v>
    <v>Pretium Resources Inc</v>
    <v>10.31</v>
    <v>35.67</v>
    <v>10.1</v>
    <v>11</v>
    <v>11</v>
    <v>185385300</v>
    <v>PVG</v>
    <v>Pretium Resources Inc (XTSE:PVG)</v>
    <v>983318</v>
    <v>2010</v>
  </rv>
  <rv s="2">
    <v>194</v>
  </rv>
  <rv s="16">
    <v>en-US</v>
    <v>a1n2hw</v>
    <v>268435456</v>
    <v>268435457</v>
    <v>0</v>
    <v>Powered by Refinitiv</v>
    <v>34</v>
    <v>Alamos Gold Inc (XNYS:AGI)</v>
    <v>2</v>
    <v>35</v>
    <v>Finance</v>
    <v>36</v>
    <v>7.7750000000000004</v>
    <v>3.34</v>
    <v>0.92689999999999995</v>
    <v>0.59</v>
    <v>0</v>
    <v>9.305999999999999E-2</v>
    <v>0</v>
    <v>USD</v>
    <v>Alamos Gold Inc. is a Canada-based intermediate gold producer. The Company operates approximately four mines in North America, including the Young-Davidson and Island Gold Mines in northern Ontario, Canada, and the Mulatos and El Chanate Mines in Sonora, Mexico. The Young-Davidson gold mine is located near the town of Matachewan, approximately 60 kilometers (km) west of Kirkland Lake in Northern Ontario, within the southwestern part of the Abitibi Greenstone Belt. The Island Gold Mine is located approximately 83 km northeast of Wawa, Ontario. The Mulatos Mine is located within the Salamandra Concessions in the Sierra Madre Occidental mountain range in the east-central portion of the State of Sonora, Mexico. El Chanate is located in northern Mexico in the northwest corner of the State of Sonora. The mine site is approximately 37 km northeast of Caborca, 280km northwest of Hermosillo, 150km southeast of Sonoyta, and 170km southwest of Tucson, Arizona.</v>
    <v>1716</v>
    <v>New York Stock Exchange</v>
    <v>XNYS</v>
    <v>XNYS</v>
    <v>181 Bay St Suite 3910, TORONTO, ON, M5J 2T3 CA</v>
    <v>6.9950000000000001</v>
    <v>Metals &amp; Mining</v>
    <v>Stock</v>
    <v>43934.897895624999</v>
    <v>19</v>
    <v>5.9749999999999996</v>
    <v>3453469000</v>
    <v>Alamos Gold Inc</v>
    <v>Alamos Gold Inc</v>
    <v>6.33</v>
    <v>25.9879</v>
    <v>6.34</v>
    <v>6.93</v>
    <v>6.93</v>
    <v>391252000</v>
    <v>AGI</v>
    <v>Alamos Gold Inc (XNYS:AGI)</v>
    <v>5396984</v>
    <v>4324220</v>
    <v>2003</v>
  </rv>
  <rv s="2">
    <v>196</v>
  </rv>
  <rv s="1">
    <v>en-US</v>
    <v>aaxer7</v>
    <v>268435456</v>
    <v>268435457</v>
    <v>0</v>
    <v>Powered by Refinitiv</v>
    <v>0</v>
    <v>Centamin PLC (XTSE:CEE)</v>
    <v>2</v>
    <v>3</v>
    <v>Finance</v>
    <v>4</v>
    <v>2.66</v>
    <v>1.39</v>
    <v>0.83169999999999999</v>
    <v>0.15</v>
    <v>6.1224000000000001E-2</v>
    <v>CAD</v>
    <v>Centamin plc is a mineral exploration, development and mining company. The Company is engaged in the business of exploration and production of precious metals. It operates in Australia, Jersey, Egypt, Burkina Faso and Cote d'Ivoire. Its principal asset, the Sukari Gold Mine (SGM), is located in the Eastern Desert, approximately 900 kilometers from Cairo and 25 kilometers from the Red Sea. SGM is jointly owned by Pharaoh Gold Mines NL (PGM) and Egyptian Mineral Resource Authority (EMRA). It has a license holding over an area of approximately 100-kilometer trend of gold mineralization in Burkina Faso. The Company holds a tenement package over an approximately 2,200 square kilometer area in southern Burkina Faso, adjacent to the border with Cote d'Ivoire. It has seven permits in Cote d'Ivoire covering an area of over 2,330 square kilometers. Six of these are part of the Doropo Project across the border from Batie West in Burkina Faso and the other is in the west of the country.</v>
    <v>1380</v>
    <v>Toronto Stock Exchange</v>
    <v>XTSE</v>
    <v>XTSE</v>
    <v>Level 2, 2 Mulcaster Street, SAINT HELIER, JE2 3NJ JE</v>
    <v>2.62</v>
    <v>Metals &amp; Mining</v>
    <v>Stock</v>
    <v>43934.827245370368</v>
    <v>0</v>
    <v>2.46</v>
    <v>1590971000</v>
    <v>Centamin PLC</v>
    <v>Centamin PLC</v>
    <v>2.46</v>
    <v>43.23</v>
    <v>2.4500000000000002</v>
    <v>2.6</v>
    <v>1155955000</v>
    <v>CEE</v>
    <v>Centamin PLC (XTSE:CEE)</v>
    <v>154100</v>
    <v>2011</v>
  </rv>
  <rv s="2">
    <v>198</v>
  </rv>
  <rv s="14">
    <v>en-US</v>
    <v>aaxy77</v>
    <v>268435456</v>
    <v>268435457</v>
    <v>0</v>
    <v>Powered by Refinitiv</v>
    <v>29</v>
    <v>Eldorado Gold Corp (XTSE:ELD)</v>
    <v>7</v>
    <v>30</v>
    <v>Finance</v>
    <v>31</v>
    <v>14.99</v>
    <v>4.0999999999999996</v>
    <v>1.6291</v>
    <v>1.3</v>
    <v>0</v>
    <v>0.120259</v>
    <v>0</v>
    <v>CAD</v>
    <v xml:space="preserve">Eldorado Gold Corp is a Canada-based gold exploration, development and mining company. The Company’s operations are classified into geographical segments that include Turkey, Canada, Brazil, Greece and Romania. The Company operates two gold mines in Turkey Kisladag and Efemcukuru, and two polymetallic mines in Greece Olympias and Stratoni. Its Stratoni mine is a silver-lead-zinc mine and the Olympias is a gold-silver-lead-zinc mine. The Company operates the Lamaque gold mine in Canada. The Brazil segment is engaged in operating Vila Nova, which is an iron ore mine, and is engaged in the exploration activties of Tocantinzinho project in Brazil. The Company is also developing Skouries and Perama Hill projects in Greece, and is developing Certej project in Romania. </v>
    <v>2756</v>
    <v>Toronto Stock Exchange</v>
    <v>XTSE</v>
    <v>XTSE</v>
    <v>5-550 Burrard St, VANCOUVER, BC, V6C 2B5 CA</v>
    <v>12.27</v>
    <v>82</v>
    <v>Metals &amp; Mining</v>
    <v>Stock</v>
    <v>43934.833333333336</v>
    <v>83</v>
    <v>10.49</v>
    <v>1775689000</v>
    <v>Eldorado Gold Corp</v>
    <v>Eldorado Gold Corp</v>
    <v>10.97</v>
    <v>17.84</v>
    <v>10.81</v>
    <v>12.11</v>
    <v>12.11</v>
    <v>164970000</v>
    <v>ELD</v>
    <v>Eldorado Gold Corp (XTSE:ELD)</v>
    <v>1763886</v>
    <v>1996</v>
  </rv>
  <rv s="2">
    <v>200</v>
  </rv>
  <rv s="14">
    <v>en-US</v>
    <v>aayw3m</v>
    <v>268435456</v>
    <v>268435457</v>
    <v>0</v>
    <v>Powered by Refinitiv</v>
    <v>29</v>
    <v>Iamgold Corp (XTSE:IMG)</v>
    <v>7</v>
    <v>30</v>
    <v>Finance</v>
    <v>31</v>
    <v>5.55</v>
    <v>2</v>
    <v>0.76080000000000003</v>
    <v>0.39</v>
    <v>0</v>
    <v>0.1</v>
    <v>0</v>
    <v>CAD</v>
    <v>Iamgold Corp is a Canada-based gold mining company. The Company's portfolio of operating gold mines, includes The Rosebel gold mine, Essakane Gold Mine, Burkina Faso, Westwood Gold MinenCanada, Sadiola Gold Mine Mali and Yatela Gold Mine Mali. The Rosebel gold mine is located in the Brokopondo district in north eastern Suriname, South America; The Essakane project is located in north-eastern Burkina Faso, West Africa; The Westwood Project is located on the Doyon property, 2.5 kilometers east of the former Doyon Gold Mine in the Bousquet Township, approximately 40 kilometers east of Rouyn-Noranda and 80 kilometers west of Val dOr in southwestern Quebec, Canada. The Sadiola Gold Mine is located in southwest Mali, West Africa near the Senegal Mali border, approximately 70 kilometers south of the town of Kayes, the regional capital. The Yatela Gold Mine is located 25 kilometers north of the Sadiola Gold Mine in southwest Mali, West Africa near the Senegal-Mali border.</v>
    <v>4832</v>
    <v>Toronto Stock Exchange</v>
    <v>XTSE</v>
    <v>XTSE</v>
    <v>401 Bay St Suite 3200, TORONTO, ON, M5H 2Y4 CA</v>
    <v>4.37</v>
    <v>9</v>
    <v>Metals &amp; Mining</v>
    <v>Stock</v>
    <v>43934.833333333336</v>
    <v>10</v>
    <v>3.74</v>
    <v>1826290000</v>
    <v>Iamgold Corp</v>
    <v>Iamgold Corp</v>
    <v>3.91</v>
    <v>59.03</v>
    <v>3.9</v>
    <v>4.29</v>
    <v>4.29</v>
    <v>470293200</v>
    <v>IMG</v>
    <v>Iamgold Corp (XTSE:IMG)</v>
    <v>4025321</v>
    <v>2017</v>
  </rv>
  <rv s="2">
    <v>202</v>
  </rv>
  <rv s="19">
    <v>en-US</v>
    <v>aaz3xm</v>
    <v>268435456</v>
    <v>268435457</v>
    <v>0</v>
    <v>Powered by Refinitiv</v>
    <v>41</v>
    <v>Lundin Gold Inc (XTSE:LUG)</v>
    <v>2</v>
    <v>42</v>
    <v>Finance</v>
    <v>31</v>
    <v>13.49</v>
    <v>5.0199999999999996</v>
    <v>1.0387999999999999</v>
    <v>0.27</v>
    <v>0</v>
    <v>2.9158E-2</v>
    <v>0</v>
    <v>CAD</v>
    <v>Lundin Gold Inc (Lundin Gold), formerly Fortress Minerals Corp, is a Canada-based gold mining company. The Company owns the Fruta del Norte Project located in southeast Ecuador, which is an undeveloped gold project. The Company's Fruta del Norte Project is located in the Cordillera del Condor region of Zamora, Chinchipe province, southeastern Ecuador. The Fruta del Norte Project consists of approximately 30 mining concessions, which cover an area of approximately 75,000 hectares located in southeastern Ecuador, in the Province of Zamora and in Morona Santiago province. The Fruta del Norte Project is consist of over three concessions and covers an area of approximately 4,660 hectares located in the Province of Zamora Chinchipe. The Company's subsidiaries include Aurelian Resources Inc, Aurelian Resources Corporation Ltd, Aurelian Ecuador S.A. and Ecoaurelian Agricola S.A. The Company's Aurelian Ecuador S.A. holds the concessions underlying the Fruta del Norte Project.</v>
    <v>Toronto Stock Exchange</v>
    <v>XTSE</v>
    <v>XTSE</v>
    <v>885 Georgia St W Suite 2000, VANCOUVER, BC, V6C 3E8 CA</v>
    <v>9.64</v>
    <v>Metals &amp; Mining</v>
    <v>Stock</v>
    <v>43934.833333333336</v>
    <v>53</v>
    <v>8.8800000000000008</v>
    <v>2074490000</v>
    <v>Lundin Gold Inc</v>
    <v>Lundin Gold Inc</v>
    <v>9.19</v>
    <v>9.26</v>
    <v>9.5299999999999994</v>
    <v>9.5299999999999994</v>
    <v>224364200</v>
    <v>LUG</v>
    <v>Lundin Gold Inc (XTSE:LUG)</v>
    <v>382674</v>
    <v>2002</v>
  </rv>
  <rv s="2">
    <v>204</v>
  </rv>
  <rv s="15">
    <v>en-US</v>
    <v>ab1atc</v>
    <v>268435456</v>
    <v>268435457</v>
    <v>0</v>
    <v>Powered by Refinitiv</v>
    <v>32</v>
    <v>SSR Mining Inc (XTSE:SSRM)</v>
    <v>2</v>
    <v>33</v>
    <v>Finance</v>
    <v>31</v>
    <v>25.57</v>
    <v>12.12</v>
    <v>0.60919999999999996</v>
    <v>1.48</v>
    <v>0</v>
    <v>7.2301000000000004E-2</v>
    <v>0</v>
    <v>CAD</v>
    <v>SSR Mining Inc, formerly Silver Standard Resources Inc, is a Canada-based resource company. The Company is engaged in the operation, acquisition, exploration and development of precious metal resource properties located in the Americas. The Company's segments include Pirquitas mine, Marigold mine, Seabee Gold Operation, and Exploration and evaluation properties. The Company has three producing mines and a portfolio of silver resource dominant projects located throughout the Americas. The Company is focused on silver production from the Pirquitas mine in Argentina and gold production from the Marigold mine in Nevada, the United States. The Company's other projects include Seabee Gold Operation in Saskatchewan, Canada and Pirquitas mine in Jujuy, Argentina. The Marigold mine produced approximately 205,116 ounces of gold. The Seabee Gold Operation produced approximately 77,640 ounces of gold. The Pirquitas mine produced approximately 10.4 million ounces of silver.</v>
    <v>1359</v>
    <v>Toronto Stock Exchange</v>
    <v>XTSE</v>
    <v>XTSE</v>
    <v>1055 Dunsmuir Street Suite 800, PO Box 49088 Stn Bentall Centre, VANCOUVER, BC, V7X 1G4 CA</v>
    <v>22.07</v>
    <v>Metals &amp; Mining</v>
    <v>Stock</v>
    <v>43934.833333333336</v>
    <v>13</v>
    <v>19.510000000000002</v>
    <v>1804418000</v>
    <v>SSR Mining Inc</v>
    <v>SSR Mining Inc</v>
    <v>20.55</v>
    <v>33.85</v>
    <v>20.47</v>
    <v>21.95</v>
    <v>21.95</v>
    <v>123084400</v>
    <v>SSRM</v>
    <v>SSR Mining Inc (XTSE:SSRM)</v>
    <v>520968</v>
    <v>1946</v>
  </rv>
  <rv s="2">
    <v>206</v>
  </rv>
  <rv s="15">
    <v>en-US</v>
    <v>ab19fr</v>
    <v>268435456</v>
    <v>268435457</v>
    <v>0</v>
    <v>Powered by Refinitiv</v>
    <v>32</v>
    <v>Semafo Inc (XTSE:SMF)</v>
    <v>2</v>
    <v>33</v>
    <v>Finance</v>
    <v>31</v>
    <v>5.75</v>
    <v>1.57</v>
    <v>-2.1000000000000001E-2</v>
    <v>0.22</v>
    <v>0</v>
    <v>6.6265000000000004E-2</v>
    <v>0</v>
    <v>CAD</v>
    <v>SEMAFO Inc. is a Canada-based mining company. Its segments include Mana, Burkina Faso; Natougou, Burkina Faso, and Other exploration. The Company, through its subsidiaries, is engaged in gold mining activities, including exploration, development and operations. Its properties include Mana project, which is located in Burkina Faso that includes the satellite Siou and Fofina deposits; Savary's Karankasso and Bantou property; Natougou advanced gold deposit, which is located approximately 320 kilometers east of Ouagadougou, and consists of a drill database of over 170 diamond, 625 multi-purpose (reverse-circulation (RC) pre-collar and core tail) and 550 RC drill holes; Banfora project, which is located approximately 200 kilometers south west of Mana, and Nabanga project, which is located approximately 250 kilometers south-east of Ouagadougou. Its subsidiaries include SEMAFO Burkina Faso S.A., Mana Mineral S.A., SEMAFO (Barbados) Ltd, Orbis Gold PTY LTD and Birimian Resources S.A.R.L.</v>
    <v>1228</v>
    <v>Toronto Stock Exchange</v>
    <v>XTSE</v>
    <v>XTSE</v>
    <v>750 Marcel Laurin Boulevard, Suite 375, SAINT-LAURENT, QC, 00000 CA</v>
    <v>3.66</v>
    <v>Metals &amp; Mining</v>
    <v>Stock</v>
    <v>43934.833333333336</v>
    <v>62</v>
    <v>3.2</v>
    <v>1105682000</v>
    <v>Semafo Inc</v>
    <v>Semafo Inc</v>
    <v>3.36</v>
    <v>16.829999999999998</v>
    <v>3.32</v>
    <v>3.54</v>
    <v>3.54</v>
    <v>334468900</v>
    <v>SMF</v>
    <v>Semafo Inc (XTSE:SMF)</v>
    <v>2693109</v>
    <v>1994</v>
  </rv>
  <rv s="2">
    <v>208</v>
  </rv>
  <rv s="15">
    <v>en-US</v>
    <v>ab1krw</v>
    <v>268435456</v>
    <v>268435457</v>
    <v>0</v>
    <v>Powered by Refinitiv</v>
    <v>32</v>
    <v>Torex Gold Resources Inc (XTSE:TXG)</v>
    <v>2</v>
    <v>33</v>
    <v>Finance</v>
    <v>31</v>
    <v>22.45</v>
    <v>8.7899999999999991</v>
    <v>0.48549999999999999</v>
    <v>1.47</v>
    <v>0</v>
    <v>0.107221</v>
    <v>0</v>
    <v>CAD</v>
    <v>Torex Gold Resources Inc. is a Canada-based resource company. The Company is engaged in the exploration, development and operation of the Morelos Gold property. The Morelos Gold Property is located in the prolific Guerrero Gold Belt in southern Mexico and consists of approximately seven mineral concessions covering a total area of over 29,000 hectares. The Company’s principal assets are the El Limon Guajes (ELG) mine (the ELG Mine) and the Media Luna project (the Media Luna Project). The ELG Mine is an open pit operation with two main pits (the El Limon and Guajes pits). The Company's Media Luna Project is an early stage development project.</v>
    <v>883</v>
    <v>Toronto Stock Exchange</v>
    <v>XTSE</v>
    <v>XTSE</v>
    <v>145 KING STREET, SUITE 1502, TORONTO, ON, M5H 1J8 CA</v>
    <v>15.39</v>
    <v>Metals &amp; Mining</v>
    <v>Stock</v>
    <v>43934.833333333336</v>
    <v>75</v>
    <v>12.94</v>
    <v>1165662000</v>
    <v>Torex Gold Resources Inc</v>
    <v>Torex Gold Resources Inc</v>
    <v>13.74</v>
    <v>12.75</v>
    <v>13.71</v>
    <v>15.18</v>
    <v>15.18</v>
    <v>85388410</v>
    <v>TXG</v>
    <v>Torex Gold Resources Inc (XTSE:TXG)</v>
    <v>578841</v>
    <v>2010</v>
  </rv>
  <rv s="2">
    <v>210</v>
  </rv>
  <rv s="15">
    <v>en-US</v>
    <v>aaxu1h</v>
    <v>268435456</v>
    <v>268435457</v>
    <v>0</v>
    <v>Powered by Refinitiv</v>
    <v>32</v>
    <v>Dundee Precious Metals Inc (XTSE:DPM)</v>
    <v>2</v>
    <v>33</v>
    <v>Finance</v>
    <v>31</v>
    <v>6.66</v>
    <v>3.2</v>
    <v>1.7806</v>
    <v>0.39</v>
    <v>0</v>
    <v>6.8062999999999999E-2</v>
    <v>0</v>
    <v>CAD</v>
    <v>Dundee Precious Metals Inc. is a gold mining company. The Company, through its subsidiaries, is engaged in the acquisition, exploration, development, mining and processing of precious metals. Its segments include Dundee Precious Metals Chelopech EAD (Chelopech) in Bulgaria, Dundee Precious Metals Tsumeb (Proprietary) Limited (Tsumeb) in Namibia, and Corporate and Other. The Corporate and Other segment includes exploration and development projects. Its subsidiaries include Chelopech, which owns and operates a gold, copper and silver mine located east of Sofia, Bulgaria; Dundee Precious Metals Krumovgrad EAD (Krumovgrad), which is engaged in the construction of a gold mine located in south eastern Bulgaria; Tsumeb, which owns and operates a custom smelter located in Tsumeb, Namibia, and Avala Resources Ltd., which is focused on the exploration and development of the Lenovac project, the Timok gold project, the Tulare copper and gold project and other early-stage projects in Serbia.</v>
    <v>2159</v>
    <v>Toronto Stock Exchange</v>
    <v>XTSE</v>
    <v>XTSE</v>
    <v>1 Adelaide St E Suite 500, TORONTO, ON, M5C 2V9 CA</v>
    <v>6.16</v>
    <v>Metals &amp; Mining</v>
    <v>Stock</v>
    <v>43934.833333333336</v>
    <v>50</v>
    <v>5.31</v>
    <v>1032923000</v>
    <v>Dundee Precious Metals Inc</v>
    <v>Dundee Precious Metals Inc</v>
    <v>5.8</v>
    <v>35.9</v>
    <v>5.73</v>
    <v>6.12</v>
    <v>6.12</v>
    <v>180537000</v>
    <v>DPM</v>
    <v>Dundee Precious Metals Inc (XTSE:DPM)</v>
    <v>622353</v>
    <v>1983</v>
  </rv>
  <rv s="2">
    <v>212</v>
  </rv>
  <rv s="19">
    <v>en-US</v>
    <v>axzm6h</v>
    <v>268435456</v>
    <v>268435457</v>
    <v>0</v>
    <v>Powered by Refinitiv</v>
    <v>41</v>
    <v>Equinox Gold Corp (XTSE:EQX)</v>
    <v>2</v>
    <v>42</v>
    <v>Finance</v>
    <v>31</v>
    <v>13.52</v>
    <v>4.9000000000000004</v>
    <v>0.73850000000000005</v>
    <v>-0.49</v>
    <v>2.8710000000000003E-3</v>
    <v>-4.4790000000000003E-2</v>
    <v>0.03</v>
    <v>CAD</v>
    <v>Equinox Gold Corp. is a Canada-based mining company. The Company is engaged in the development and operation of mineral properties. It has a gold reserve base and operates approximately six wholly owned gold mines. The Company produces gold from its Los Filos Mine in Mexico, its Mesquite Gold Mine in California, and its Aurizona, Fazenda, RDM and Pilar mines in Brazil. The Los Filos mine is located approximately 180 kilometers (kms) south of Mexico City in the municipality of Eduardo Neri, Mexico. The Aurizona mine is an open-pit gold mine. The Mesquite mine is an open-pit, run-of-mine (ROM) heap leach gold mine located in Imperial County, California. The RDM mine is located in Minas Gerais State, Brazil, approximately 560 kms north of Belo Horizonte. The Fazenda mine is located within the Maria Preta mining district in Bahia State, Brazil. The Pilar mine is located in Goias State in central Brazil, approximately 320 kms from the federal capital of Brasilia.</v>
    <v>Toronto Stock Exchange</v>
    <v>XTSE</v>
    <v>XTSE</v>
    <v>700 Pender St W Suite 1501, VANCOUVER, BC, V6C 1G8 CA</v>
    <v>10.65</v>
    <v>Metals &amp; Mining</v>
    <v>Stock</v>
    <v>43934.833333333336</v>
    <v>88</v>
    <v>9.8699999999999992</v>
    <v>2352167000</v>
    <v>Equinox Gold Corp</v>
    <v>Equinox Gold Corp</v>
    <v>9.92</v>
    <v>10.94</v>
    <v>10.45</v>
    <v>10.48</v>
    <v>215930700</v>
    <v>EQX</v>
    <v>Equinox Gold Corp (XTSE:EQX)</v>
    <v>3062015</v>
    <v>2007</v>
  </rv>
  <rv s="2">
    <v>214</v>
  </rv>
  <rv s="8">
    <v>en-US</v>
    <v>aaypsm</v>
    <v>268435456</v>
    <v>268435457</v>
    <v>0</v>
    <v>Powered by Refinitiv</v>
    <v>14</v>
    <v>Harte Gold Corp (XTSE:HRT)</v>
    <v>2</v>
    <v>15</v>
    <v>Finance</v>
    <v>4</v>
    <v>0.35</v>
    <v>7.4999999999999997E-2</v>
    <v>1.7565</v>
    <v>0</v>
    <v>0</v>
    <v>CAD</v>
    <v xml:space="preserve">Harte Gold Corp is a Canada-based company engaged in the acquisition, exploration and development of mineral resource properties with a focus on gold properties located in the Province of Ontario. It has interests in gold exploration projects, including Sugar Zone Property, which is located approximately 80 kilometers east of the Hemlo area gold mines and northeast of the town of White River, and the Stoughton-Abitibi Property, which is located over 110 kilometers east of Timmins and approximately 50 kilometers north-east of Kirkland Lake. Its exploration activities are focused on the Sugar Zone Property, which comprises approximately 83.850 hectares and covers an entire greenstone belt. The Company has conducted various diamond drill and other exploration programs on its properties. </v>
    <v>92</v>
    <v>Toronto Stock Exchange</v>
    <v>XTSE</v>
    <v>XTSE</v>
    <v>8 King St E Suite 1700, TORONTO, ON, M5C 1B5 CA</v>
    <v>0.12</v>
    <v>Metals &amp; Mining</v>
    <v>Stock</v>
    <v>43934.830046296294</v>
    <v>32</v>
    <v>0.115</v>
    <v>97313830</v>
    <v>Harte Gold Corp</v>
    <v>Harte Gold Corp</v>
    <v>0.115</v>
    <v>0.115</v>
    <v>0.115</v>
    <v>846207200</v>
    <v>HRT</v>
    <v>Harte Gold Corp (XTSE:HRT)</v>
    <v>795163</v>
    <v>1982</v>
  </rv>
  <rv s="2">
    <v>216</v>
  </rv>
  <rv s="10">
    <v>en-US</v>
    <v>ab4b52</v>
    <v>268435456</v>
    <v>268435457</v>
    <v>0</v>
    <v>Powered by Refinitiv</v>
    <v>19</v>
    <v>K92 Mining Inc (XTSX:KNT)</v>
    <v>2</v>
    <v>20</v>
    <v>Finance</v>
    <v>4</v>
    <v>4.4649999999999999</v>
    <v>1.27</v>
    <v>1.228</v>
    <v>0.42</v>
    <v>0.116022</v>
    <v>CAD</v>
    <v>K92 Mining Inc., formerly Otterburn Resources Corp., is engaged in the exploration and development of mineral deposits in Papua New Guinea, specifically the Kainantu Gold Mine that includes Irumafima and Kora deposits. The Company's Kainantu property covers a total area of approximately 410 square kilometers and is located in the Eastern Highlands Province of Papua New Guinea, approximately 180 kilometers west-northwest of Lae. The Kainantu property comprises an exploration license EL1341; a mining license ML150; two mining easements ME80 and ME81, and a license for mining purposes LMP78. The Kora mine is located within ML150 and the main Kainantu exploration camp and processing plant are located within LMP78, which is located within EL693. The Company's EL 1341 covers a total area of over 150 square kilometers and is located to the south of ML150. The ML150 includes Judd, Karempe and other unnamed mineralized lodes. Judd is located approximately 200 meters east of Koraon ML150.</v>
    <v>TSX Venture Exchange</v>
    <v>XTSX</v>
    <v>XTSX</v>
    <v>488-1090 Georgia St W, VANCOUVER, BC, V6E 3V7 CA</v>
    <v>4.1500000000000004</v>
    <v>Metals &amp; Mining</v>
    <v>Stock</v>
    <v>43934.833321759259</v>
    <v>41</v>
    <v>3.62</v>
    <v>767919400</v>
    <v>K92 Mining Inc</v>
    <v>K92 Mining Inc</v>
    <v>3.7</v>
    <v>17.53</v>
    <v>3.62</v>
    <v>4.04</v>
    <v>213044700</v>
    <v>KNT</v>
    <v>K92 Mining Inc (XTSX:KNT)</v>
    <v>1436052</v>
    <v>2010</v>
  </rv>
  <rv s="2">
    <v>218</v>
  </rv>
  <rv s="1">
    <v>en-US</v>
    <v>aazayc</v>
    <v>268435456</v>
    <v>268435457</v>
    <v>0</v>
    <v>Powered by Refinitiv</v>
    <v>0</v>
    <v>McEwen Mining Inc (XTSE:MUX)</v>
    <v>2</v>
    <v>3</v>
    <v>Finance</v>
    <v>4</v>
    <v>2.84</v>
    <v>0.76</v>
    <v>0.44080000000000003</v>
    <v>7.0000000000000007E-2</v>
    <v>5.6452000000000002E-2</v>
    <v>CAD</v>
    <v>McEwen Mining Inc. is a mining and minerals production and exploration company. The Company is focused on precious and base metals in Argentina, Mexico and the United States. The Company's segments include Mexico, Minera Santa Cruz S.A. (MSC), Nevada and Los Azules. The Mexico Operations segment includes properties, such as El Gallo 1 mine and the El Gallo 2 project. The MSC segment includes properties, such as the San Jose mine and other concessions located around the mine. The Company's properties in Nevada segment include Gold Bar project and exploration properties. The Gold Bar project is a proposed mine project. The Los Azules segment includes various properties, such as Los Azules project, Chonchones project, Laganoso project, La Cerrada project and Other Argentina properties. The Los Azules copper project is an advanced-stage porphyry copper exploration project located in the cordilleran region of San Juan Province, Argentina near the border with Chile.</v>
    <v>448</v>
    <v>Toronto Stock Exchange</v>
    <v>XTSE</v>
    <v>XTSE</v>
    <v>150 King St W Suite 2800 - P.O. Box 24, TORONTO, ON, M5H 1J9 CA</v>
    <v>1.32</v>
    <v>Metals &amp; Mining</v>
    <v>Stock</v>
    <v>43934.833310185182</v>
    <v>44</v>
    <v>1.18</v>
    <v>348266500</v>
    <v>McEwen Mining Inc</v>
    <v>McEwen Mining Inc</v>
    <v>1.25</v>
    <v>99.58</v>
    <v>1.24</v>
    <v>1.31</v>
    <v>400398400</v>
    <v>MUX</v>
    <v>McEwen Mining Inc (XTSE:MUX)</v>
    <v>426534</v>
    <v>1979</v>
  </rv>
  <rv s="2">
    <v>220</v>
  </rv>
  <rv s="20">
    <v>en-US</v>
    <v>aazdc7</v>
    <v>268435456</v>
    <v>268435457</v>
    <v>0</v>
    <v>Powered by Refinitiv</v>
    <v>43</v>
    <v>New Gold Inc (XTSE:NGD)</v>
    <v>7</v>
    <v>44</v>
    <v>Finance</v>
    <v>31</v>
    <v>2.0299999999999998</v>
    <v>0.55000000000000004</v>
    <v>1.6388</v>
    <v>0.16</v>
    <v>0</v>
    <v>0.19047599999999998</v>
    <v>0</v>
    <v>CAD</v>
    <v>New Gold Inc. is a Canada-based gold mining company. The Company owns assets in Canada and Mexico. Its assets include Rainy River, New Afton Mines and Cerro San Pedro Mine. The Rainy River Mine is situated in the Richardson Township, approximately 65 kilometers (km) northwest of Fort Frances in Northwestern Ontario. The New Afton copper-gold mine is located approximately 350 km northeast of Vancouver in the south-central interior of British Columbia. The Cerro San Pedro Mine is an open-pit gold and silver heap leach operation located in central Mexico in the state of San Luis Potosi, approximately 400 km north of Mexico City and 14 km east of the city of San Luis Potosi. The Company also owns the Blackwater Project, which is located in British Columbia, Canada, approximately 160 km southwest of Prince George.</v>
    <v>1267</v>
    <v>Toronto Stock Exchange</v>
    <v>XTSE</v>
    <v>XTSE</v>
    <v>181 BAY STREET, SUITE 3320, TORONTO, ON, M5J 2T3 CA</v>
    <v>1.02</v>
    <v>58</v>
    <v>Metals &amp; Mining</v>
    <v>Stock</v>
    <v>43934.833333333336</v>
    <v>59</v>
    <v>0.8</v>
    <v>566950600</v>
    <v>New Gold Inc</v>
    <v>New Gold Inc</v>
    <v>0.83</v>
    <v>0.84</v>
    <v>1</v>
    <v>1</v>
    <v>675957100</v>
    <v>NGD</v>
    <v>New Gold Inc (XTSE:NGD)</v>
    <v>3822921</v>
    <v>2016</v>
  </rv>
  <rv s="2">
    <v>222</v>
  </rv>
  <rv s="15">
    <v>en-US</v>
    <v>ab1fbh</v>
    <v>268435456</v>
    <v>268435457</v>
    <v>0</v>
    <v>Powered by Refinitiv</v>
    <v>32</v>
    <v>Teranga Gold Corp (XTSE:TGZ)</v>
    <v>2</v>
    <v>33</v>
    <v>Finance</v>
    <v>31</v>
    <v>9.51</v>
    <v>2.97</v>
    <v>0.42330000000000001</v>
    <v>0.59</v>
    <v>0</v>
    <v>6.6143000000000007E-2</v>
    <v>0</v>
    <v>CAD</v>
    <v>Teranga Gold Corp is a Canada-based mining company. The Company is engaged in the production, sale and exploration of gold in Senegal, West Africa. The Company owns and operates a gold mine and mill, the Sabodala Gold mine, in Senegal, West Africa. The Company is focused on the exploration and development of Sabodala gold mine, which is located approximately 650 kilometers southeast of Dakar, the capital of Senegal. The Sabodala mine license covers an area of approximately 290 square kilometers. The Company's project includes approximately nine exploration permits, which cover an area of approximately 1,000 square kilometers. The Company's mine license and land package is located on a West African Birimian greenstone belt.</v>
    <v>2300</v>
    <v>Toronto Stock Exchange</v>
    <v>XTSE</v>
    <v>XTSE</v>
    <v>77 King St W Suite 2110, TORONTO, ON, M5K 2A1 CA</v>
    <v>9.6</v>
    <v>Metals &amp; Mining</v>
    <v>Stock</v>
    <v>43934.833333333336</v>
    <v>68</v>
    <v>8.4849999999999994</v>
    <v>1488000000</v>
    <v>Teranga Gold Corp</v>
    <v>Teranga Gold Corp</v>
    <v>8.9600000000000009</v>
    <v>74.02</v>
    <v>8.92</v>
    <v>9.51</v>
    <v>9.51</v>
    <v>167533500</v>
    <v>TGZ</v>
    <v>Teranga Gold Corp (XTSE:TGZ)</v>
    <v>1451517</v>
    <v>2010</v>
  </rv>
  <rv s="2">
    <v>224</v>
  </rv>
  <rv s="9">
    <v>en-US</v>
    <v>ab1gxm</v>
    <v>268435456</v>
    <v>268435457</v>
    <v>0</v>
    <v>Powered by Refinitiv</v>
    <v>17</v>
    <v>TMAC Resources Inc (XTSE:TMR)</v>
    <v>2</v>
    <v>18</v>
    <v>Finance</v>
    <v>4</v>
    <v>6.95</v>
    <v>0.44</v>
    <v>2.1038000000000001</v>
    <v>0.45</v>
    <v>0.69230800000000003</v>
    <v>CAD</v>
    <v>TMAC Resources, Inc. is a Canada-based gold producer. The Company is involved in the exploration, evaluation and development of the Hope Bay mineral property in the Kitikmeot Region of Nunavut, Canada (Hope Bay Project). Approximately 1,100 square kilometer Hope Bay Project gold deposit has approximately 4.5 million ounces of gold at an average grade of approximately 9.2 grams per ton gold (g/t Au), Inferred Mineral Resources totaling approximately 1.4 million ounces of gold at an average grade of 7.4 g/t Au and proven and probable mineral reserves totaling approximately 3.5 million ounces of gold at an average grade of 7.7 g/t Au.</v>
    <v>254</v>
    <v>Toronto Stock Exchange</v>
    <v>XTSE</v>
    <v>XTSE</v>
    <v>95 Wellington St W Suite 1010, P.O. Box 44, TORONTO, ON, M5J 2N7 CA</v>
    <v>1.19</v>
    <v>Metals &amp; Mining</v>
    <v>Stock</v>
    <v>43934.833287037036</v>
    <v>38</v>
    <v>0.69</v>
    <v>74950080</v>
    <v>TMAC Resources Inc</v>
    <v>TMAC Resources Inc</v>
    <v>0.72</v>
    <v>27.72</v>
    <v>0.65</v>
    <v>1.1000000000000001</v>
    <v>115307800</v>
    <v>TMR</v>
    <v>TMAC Resources Inc (XTSE:TMR)</v>
    <v>1093879</v>
  </rv>
  <rv s="2">
    <v>226</v>
  </rv>
  <rv s="11">
    <v>en-US</v>
    <v>ab64bh</v>
    <v>268435456</v>
    <v>268435457</v>
    <v>0</v>
    <v>Powered by Refinitiv</v>
    <v>21</v>
    <v>Victoria Gold Corp (XTSE:VGCX)</v>
    <v>2</v>
    <v>22</v>
    <v>Finance</v>
    <v>4</v>
    <v>9.9</v>
    <v>4.0199999999999996</v>
    <v>1.413</v>
    <v>0.5</v>
    <v>6.6224999999999992E-2</v>
    <v>CAD</v>
    <v>Victoria Gold Corp. is an exploration and development-stage company. The Company is engaged in the acquisition, evaluation, exploration and development of mineral properties. The Company's segments include corporate, Canada and the United States. The Company owns Dublin Gulch property, which hosts the Eagle Gold Deposit. Dublin Gulch is located in central Yukon Territory, Canada, approximately 370 kilometers north of the capital city of Whitehorse and approximately 80 kilometers from the town of Mayo. The property covers an area of approximately 550 square kilometers. The Dublin Gulch property also includes the Wolf Tungsten Deposit, the Potato Hills Trend, including the Olive, Shamrock and Nugget targets, NND Cat B land and other targets. The Company's other properties include interests in Donjek, Aurex, Canalask, and Clear Creek in Yukon Territory and Island Mountain in Nevada. The Company has not generated any revenues from its properties.</v>
    <v>Toronto Stock Exchange</v>
    <v>XTSE</v>
    <v>XTSE</v>
    <v>80 Richmond St W Suite 303, TORONTO, ON, M5H 2A4 CA</v>
    <v>8.1</v>
    <v>Metals &amp; Mining</v>
    <v>Stock</v>
    <v>43934.833252314813</v>
    <v>47</v>
    <v>7.45</v>
    <v>440754900</v>
    <v>Victoria Gold Corp</v>
    <v>Victoria Gold Corp</v>
    <v>7.55</v>
    <v>7.55</v>
    <v>8.0500000000000007</v>
    <v>58378130</v>
    <v>VGCX</v>
    <v>Victoria Gold Corp (XTSE:VGCX)</v>
    <v>150119</v>
    <v>1981</v>
  </rv>
  <rv s="2">
    <v>228</v>
  </rv>
  <rv s="15">
    <v>en-US</v>
    <v>ab1ryc</v>
    <v>268435456</v>
    <v>268435457</v>
    <v>0</v>
    <v>Powered by Refinitiv</v>
    <v>32</v>
    <v>Wesdome Gold Mines Ltd (XTSE:WDO)</v>
    <v>2</v>
    <v>45</v>
    <v>Finance</v>
    <v>31</v>
    <v>11.06</v>
    <v>3.96</v>
    <v>0.59840000000000004</v>
    <v>0.72</v>
    <v>0</v>
    <v>7.9558000000000004E-2</v>
    <v>0</v>
    <v>CAD</v>
    <v>Wesdome Gold Mines Ltd. is a gold producer engaged in mining and related activities including exploration, extraction, processing and reclamation. The Company’s principal assets include the Eagle River Mine, the Mishi Mine and the Eagle River Mill located near Wawa, Ontario, together called the Eagle River Complex, the Moss Lake property in Thunder Bay, Ontario, and the Kiena Mining and Milling Complex (Kiena Complex) and exploration properties located in Val D’Or, Quebec. Eagle River Complex consist of two claim groups totaling over 11,000 hectares, the Eagle River Underground Mine, the Mishi Open Pit Mine and common mineral processing facilities located adjacent to the Mishi Open Pit and permitted at 1,200 tonnes per day. Its Val D’Or land position consists of a contiguous block of mining claims and concessions covering in excess of approximately 7,500 hectares.</v>
    <v>301</v>
    <v>Toronto Stock Exchange</v>
    <v>XTSE</v>
    <v>XTSE</v>
    <v>8 King St E Suite 1305, TORONTO, ON, M5C 1B5 CA</v>
    <v>9.91</v>
    <v>Metals &amp; Mining</v>
    <v>Stock</v>
    <v>43934.833333333336</v>
    <v>35</v>
    <v>8.68</v>
    <v>1248832000</v>
    <v>Wesdome Gold Mines Ltd</v>
    <v>Wesdome Gold Mines Ltd</v>
    <v>9.34</v>
    <v>31.23</v>
    <v>9.0500000000000007</v>
    <v>9.77</v>
    <v>9.77</v>
    <v>137992400</v>
    <v>WDO</v>
    <v>Wesdome Gold Mines Ltd (XTSE:WDO)</v>
    <v>868227</v>
    <v>1991</v>
  </rv>
  <rv s="2">
    <v>230</v>
  </rv>
</rvData>
</file>

<file path=xl/richData/rdrichvaluestructure.xml><?xml version="1.0" encoding="utf-8"?>
<rvStructures xmlns="http://schemas.microsoft.com/office/spreadsheetml/2017/richdata" count="21">
  <s t="_hyperlink">
    <k n="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
    <k n="%cvi" t="r"/>
  </s>
  <s t="_sourceattribution">
    <k n="License" t="r"/>
    <k n="Source" t="r"/>
  </s>
  <s t="_imageurl">
    <k n="Address" t="s"/>
    <k n="Attribution" t="r"/>
    <k n="More Images 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Category" t="s"/>
    <k n="Change"/>
    <k n="Change (%)"/>
    <k n="Country/region" t="s"/>
    <k n="Currency" t="s"/>
    <k n="Expiration Date"/>
    <k n="Instrument type" t="s"/>
    <k n="Last trade time"/>
    <k n="LearnMoreOnLink" t="r"/>
    <k n="Month"/>
    <k n="Name" t="s"/>
    <k n="Price"/>
    <k n="Ticker symbol" t="s"/>
    <k n="Trade Unit" t="s"/>
    <k n="UniqueName" t="s"/>
    <k n="Year"/>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Price (Extended hours)"/>
    <k n="Shares outstanding"/>
    <k n="Ticker symbol" t="s"/>
    <k n="UniqueName" t="s"/>
    <k n="Volume"/>
    <k n="Year incorporated"/>
  </s>
</rvStructures>
</file>

<file path=xl/richData/rdsupportingpropertybag.xml><?xml version="1.0" encoding="utf-8"?>
<supportingPropertyBags xmlns="http://schemas.microsoft.com/office/spreadsheetml/2017/richdata2">
  <spbArrays count="17">
    <a count="42">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v t="s">_Display</v>
    </a>
    <a count="43">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a count="43">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_Display</v>
    </a>
    <a count="42">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_Flags</v>
      <v t="s">UniqueName</v>
      <v t="s">_DisplayString</v>
      <v t="s">LearnMoreOnLink</v>
      <v t="s">Image</v>
      <v t="s">ExchangeID</v>
      <v t="s">%ProviderInfo</v>
      <v t="s">_Display</v>
    </a>
    <a count="41">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ExchangeID</v>
      <v t="s">%ProviderInfo</v>
      <v t="s">_Display</v>
    </a>
    <a count="41">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_Flags</v>
      <v t="s">UniqueName</v>
      <v t="s">_DisplayString</v>
      <v t="s">LearnMoreOnLink</v>
      <v t="s">ExchangeID</v>
      <v t="s">%ProviderInfo</v>
      <v t="s">_Display</v>
    </a>
    <a count="41">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Headquarters</v>
      <v t="s">Industry</v>
      <v t="s">Instrument type</v>
      <v t="s">Year incorporated</v>
      <v t="s">_Flags</v>
      <v t="s">UniqueName</v>
      <v t="s">_DisplayString</v>
      <v t="s">LearnMoreOnLink</v>
      <v t="s">ExchangeID</v>
      <v t="s">%ProviderInfo</v>
      <v t="s">_Display</v>
    </a>
    <a count="40">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Headquarters</v>
      <v t="s">Industry</v>
      <v t="s">Instrument type</v>
      <v t="s">Year incorporated</v>
      <v t="s">_Flags</v>
      <v t="s">UniqueName</v>
      <v t="s">_DisplayString</v>
      <v t="s">LearnMoreOnLink</v>
      <v t="s">ExchangeID</v>
      <v t="s">%ProviderInfo</v>
      <v t="s">_Display</v>
    </a>
    <a count="42">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Image</v>
      <v t="s">ExchangeID</v>
      <v t="s">%ProviderInfo</v>
      <v t="s">_Display</v>
    </a>
    <a count="27">
      <v t="s">%EntityServiceId</v>
      <v t="s">_Format</v>
      <v t="s">%EntitySubDomainId</v>
      <v t="s">%EntityCulture</v>
      <v t="s">%IsRefreshable</v>
      <v t="s">%EntityId</v>
      <v t="s">_Icon</v>
      <v t="s">Name</v>
      <v t="s">Price</v>
      <v t="s">Last trade time</v>
      <v t="s">Ticker symbol</v>
      <v t="s">Change</v>
      <v t="s">Change (%)</v>
      <v t="s">Currency</v>
      <v t="s">Category</v>
      <v t="s">Expiration Date</v>
      <v t="s">Trade Unit</v>
      <v t="s">Year</v>
      <v t="s">Month</v>
      <v t="s">Country/region</v>
      <v t="s">Instrument type</v>
      <v t="s">_Flags</v>
      <v t="s">UniqueName</v>
      <v t="s">_DisplayString</v>
      <v t="s">LearnMoreOnLink</v>
      <v t="s">%ProviderInfo</v>
      <v t="s">_Display</v>
    </a>
    <a count="46">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a count="45">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v t="s">_Display</v>
    </a>
    <a count="46">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_Display</v>
    </a>
    <a count="45">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P/E</v>
      <v t="s">Shares outstanding</v>
      <v t="s">Description</v>
      <v t="s">Employees</v>
      <v t="s">Headquarters</v>
      <v t="s">Industry</v>
      <v t="s">Instrument type</v>
      <v t="s">_Flags</v>
      <v t="s">UniqueName</v>
      <v t="s">_DisplayString</v>
      <v t="s">LearnMoreOnLink</v>
      <v t="s">Image</v>
      <v t="s">ExchangeID</v>
      <v t="s">%ProviderInfo</v>
      <v t="s">_Display</v>
    </a>
    <a count="44">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P/E</v>
      <v t="s">Shares outstanding</v>
      <v t="s">Description</v>
      <v t="s">Headquarters</v>
      <v t="s">Industry</v>
      <v t="s">Instrument type</v>
      <v t="s">Year incorporated</v>
      <v t="s">_Flags</v>
      <v t="s">UniqueName</v>
      <v t="s">_DisplayString</v>
      <v t="s">LearnMoreOnLink</v>
      <v t="s">ExchangeID</v>
      <v t="s">%ProviderInfo</v>
      <v t="s">_Display</v>
    </a>
    <a count="43">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Shares outstanding</v>
      <v t="s">Description</v>
      <v t="s">Headquarters</v>
      <v t="s">Industry</v>
      <v t="s">Instrument type</v>
      <v t="s">Year incorporated</v>
      <v t="s">_Flags</v>
      <v t="s">UniqueName</v>
      <v t="s">_DisplayString</v>
      <v t="s">LearnMoreOnLink</v>
      <v t="s">ExchangeID</v>
      <v t="s">%ProviderInfo</v>
      <v t="s">_Display</v>
    </a>
    <a count="45">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Image</v>
      <v t="s">ExchangeID</v>
      <v t="s">%ProviderInfo</v>
      <v t="s">_Display</v>
    </a>
  </spbArrays>
  <spbData count="46">
    <spb s="0">
      <v>0</v>
    </spb>
    <spb s="1">
      <v>0</v>
      <v>0</v>
      <v>0</v>
    </spb>
    <spb s="2">
      <v>1</v>
      <v>1</v>
      <v>1</v>
    </spb>
    <spb s="3">
      <v>1</v>
      <v>2</v>
      <v>2</v>
      <v>1</v>
      <v>3</v>
      <v>1</v>
      <v>1</v>
      <v>1</v>
      <v>4</v>
      <v>4</v>
      <v>5</v>
      <v>6</v>
      <v>1</v>
      <v>1</v>
      <v>1</v>
      <v>7</v>
      <v>8</v>
      <v>9</v>
      <v>10</v>
      <v>9</v>
      <v>4</v>
    </spb>
    <spb s="4">
      <v>Delayed 20 minutes</v>
      <v>from previous close</v>
      <v>from previous close</v>
      <v>GMT</v>
    </spb>
    <spb s="0">
      <v>1</v>
    </spb>
    <spb s="5">
      <v>0</v>
      <v>0</v>
    </spb>
    <spb s="6">
      <v>6</v>
      <v>1</v>
      <v>1</v>
      <v>1</v>
    </spb>
    <spb s="7">
      <v>1</v>
      <v>2</v>
      <v>2</v>
      <v>1</v>
      <v>3</v>
      <v>1</v>
      <v>11</v>
      <v>1</v>
      <v>1</v>
      <v>4</v>
      <v>4</v>
      <v>5</v>
      <v>6</v>
      <v>1</v>
      <v>1</v>
      <v>1</v>
      <v>7</v>
      <v>8</v>
      <v>9</v>
      <v>10</v>
      <v>9</v>
      <v>4</v>
    </spb>
    <spb s="0">
      <v>2</v>
    </spb>
    <spb s="8">
      <v>12</v>
      <v>2</v>
      <v>2</v>
      <v>12</v>
      <v>3</v>
      <v>12</v>
      <v>12</v>
      <v>12</v>
      <v>4</v>
      <v>4</v>
      <v>5</v>
      <v>6</v>
      <v>12</v>
      <v>12</v>
      <v>12</v>
      <v>4</v>
      <v>7</v>
      <v>8</v>
      <v>9</v>
      <v>10</v>
      <v>9</v>
      <v>4</v>
    </spb>
    <spb s="9">
      <v>Delayed 15 minutes</v>
      <v>from previous close</v>
      <v>from previous close</v>
      <v>Source: Nasdaq</v>
      <v>GMT</v>
    </spb>
    <spb s="0">
      <v>3</v>
    </spb>
    <spb s="10">
      <v>1</v>
      <v>2</v>
      <v>2</v>
      <v>1</v>
      <v>3</v>
      <v>1</v>
      <v>11</v>
      <v>1</v>
      <v>1</v>
      <v>4</v>
      <v>4</v>
      <v>5</v>
      <v>6</v>
      <v>1</v>
      <v>1</v>
      <v>1</v>
      <v>7</v>
      <v>8</v>
      <v>9</v>
      <v>9</v>
      <v>4</v>
    </spb>
    <spb s="0">
      <v>4</v>
    </spb>
    <spb s="11">
      <v>1</v>
      <v>2</v>
      <v>1</v>
      <v>3</v>
      <v>1</v>
      <v>1</v>
      <v>1</v>
      <v>4</v>
      <v>4</v>
      <v>5</v>
      <v>13</v>
      <v>1</v>
      <v>1</v>
      <v>1</v>
      <v>7</v>
      <v>8</v>
      <v>9</v>
      <v>10</v>
      <v>9</v>
      <v>4</v>
    </spb>
    <spb s="3">
      <v>1</v>
      <v>2</v>
      <v>2</v>
      <v>1</v>
      <v>3</v>
      <v>1</v>
      <v>1</v>
      <v>1</v>
      <v>4</v>
      <v>4</v>
      <v>5</v>
      <v>13</v>
      <v>1</v>
      <v>1</v>
      <v>1</v>
      <v>7</v>
      <v>8</v>
      <v>9</v>
      <v>10</v>
      <v>9</v>
      <v>4</v>
    </spb>
    <spb s="0">
      <v>5</v>
    </spb>
    <spb s="12">
      <v>1</v>
      <v>2</v>
      <v>2</v>
      <v>1</v>
      <v>3</v>
      <v>1</v>
      <v>1</v>
      <v>1</v>
      <v>4</v>
      <v>4</v>
      <v>5</v>
      <v>13</v>
      <v>1</v>
      <v>1</v>
      <v>1</v>
      <v>7</v>
      <v>8</v>
      <v>9</v>
      <v>9</v>
      <v>4</v>
    </spb>
    <spb s="0">
      <v>6</v>
    </spb>
    <spb s="13">
      <v>1</v>
      <v>2</v>
      <v>2</v>
      <v>1</v>
      <v>3</v>
      <v>1</v>
      <v>1</v>
      <v>1</v>
      <v>4</v>
      <v>5</v>
      <v>6</v>
      <v>1</v>
      <v>1</v>
      <v>1</v>
      <v>7</v>
      <v>8</v>
      <v>9</v>
      <v>10</v>
      <v>9</v>
      <v>4</v>
    </spb>
    <spb s="0">
      <v>7</v>
    </spb>
    <spb s="14">
      <v>1</v>
      <v>2</v>
      <v>1</v>
      <v>3</v>
      <v>1</v>
      <v>1</v>
      <v>1</v>
      <v>4</v>
      <v>5</v>
      <v>13</v>
      <v>1</v>
      <v>1</v>
      <v>1</v>
      <v>7</v>
      <v>8</v>
      <v>9</v>
      <v>10</v>
      <v>9</v>
      <v>4</v>
    </spb>
    <spb s="14">
      <v>1</v>
      <v>2</v>
      <v>1</v>
      <v>3</v>
      <v>1</v>
      <v>1</v>
      <v>1</v>
      <v>4</v>
      <v>5</v>
      <v>6</v>
      <v>1</v>
      <v>1</v>
      <v>1</v>
      <v>7</v>
      <v>8</v>
      <v>9</v>
      <v>10</v>
      <v>9</v>
      <v>4</v>
    </spb>
    <spb s="0">
      <v>8</v>
    </spb>
    <spb s="15">
      <v>1</v>
      <v>2</v>
      <v>1</v>
      <v>3</v>
      <v>1</v>
      <v>11</v>
      <v>1</v>
      <v>1</v>
      <v>4</v>
      <v>4</v>
      <v>5</v>
      <v>6</v>
      <v>1</v>
      <v>1</v>
      <v>1</v>
      <v>7</v>
      <v>8</v>
      <v>9</v>
      <v>10</v>
      <v>9</v>
      <v>4</v>
    </spb>
    <spb s="0">
      <v>9</v>
    </spb>
    <spb s="16">
      <v>1</v>
      <v>1</v>
    </spb>
    <spb s="17">
      <v>3</v>
      <v>10</v>
      <v>10</v>
      <v>12</v>
      <v>12</v>
      <v>5</v>
      <v>7</v>
      <v>14</v>
      <v>8</v>
      <v>9</v>
      <v>9</v>
    </spb>
    <spb s="0">
      <v>10</v>
    </spb>
    <spb s="18">
      <v>1</v>
      <v>2</v>
      <v>2</v>
      <v>1</v>
      <v>3</v>
      <v>1</v>
      <v>11</v>
      <v>1</v>
      <v>1</v>
      <v>4</v>
      <v>4</v>
      <v>5</v>
      <v>6</v>
      <v>1</v>
      <v>1</v>
      <v>1</v>
      <v>7</v>
      <v>8</v>
      <v>9</v>
      <v>10</v>
      <v>9</v>
      <v>4</v>
      <v>1</v>
      <v>1</v>
      <v>5</v>
    </spb>
    <spb s="19">
      <v>at close</v>
      <v>from previous close</v>
      <v>from previous close</v>
      <v>GMT</v>
      <v>Delayed 20 minutes</v>
      <v>from close</v>
      <v>from close</v>
    </spb>
    <spb s="0">
      <v>11</v>
    </spb>
    <spb s="20">
      <v>1</v>
      <v>2</v>
      <v>2</v>
      <v>1</v>
      <v>3</v>
      <v>1</v>
      <v>1</v>
      <v>1</v>
      <v>4</v>
      <v>4</v>
      <v>5</v>
      <v>6</v>
      <v>1</v>
      <v>1</v>
      <v>1</v>
      <v>7</v>
      <v>8</v>
      <v>9</v>
      <v>10</v>
      <v>9</v>
      <v>4</v>
      <v>1</v>
      <v>1</v>
      <v>5</v>
    </spb>
    <spb s="0">
      <v>12</v>
    </spb>
    <spb s="21">
      <v>12</v>
      <v>2</v>
      <v>2</v>
      <v>12</v>
      <v>3</v>
      <v>12</v>
      <v>12</v>
      <v>12</v>
      <v>4</v>
      <v>4</v>
      <v>5</v>
      <v>6</v>
      <v>12</v>
      <v>12</v>
      <v>12</v>
      <v>4</v>
      <v>7</v>
      <v>8</v>
      <v>9</v>
      <v>10</v>
      <v>9</v>
      <v>4</v>
      <v>12</v>
      <v>12</v>
      <v>5</v>
    </spb>
    <spb s="22">
      <v>at close</v>
      <v>from previous close</v>
      <v>from previous close</v>
      <v>Source: Nasdaq</v>
      <v>GMT</v>
      <v>Delayed 15 minutes</v>
      <v>from close</v>
      <v>from close</v>
    </spb>
    <spb s="0">
      <v>13</v>
    </spb>
    <spb s="23">
      <v>1</v>
      <v>2</v>
      <v>2</v>
      <v>1</v>
      <v>3</v>
      <v>1</v>
      <v>11</v>
      <v>1</v>
      <v>1</v>
      <v>4</v>
      <v>4</v>
      <v>5</v>
      <v>6</v>
      <v>1</v>
      <v>1</v>
      <v>1</v>
      <v>7</v>
      <v>8</v>
      <v>9</v>
      <v>9</v>
      <v>4</v>
      <v>1</v>
      <v>1</v>
      <v>5</v>
    </spb>
    <spb s="0">
      <v>14</v>
    </spb>
    <spb s="24">
      <v>1</v>
      <v>2</v>
      <v>2</v>
      <v>1</v>
      <v>3</v>
      <v>1</v>
      <v>1</v>
      <v>1</v>
      <v>4</v>
      <v>5</v>
      <v>6</v>
      <v>1</v>
      <v>1</v>
      <v>1</v>
      <v>7</v>
      <v>8</v>
      <v>9</v>
      <v>10</v>
      <v>9</v>
      <v>4</v>
      <v>1</v>
      <v>1</v>
      <v>5</v>
    </spb>
    <spb s="0">
      <v>15</v>
    </spb>
    <spb s="25">
      <v>1</v>
      <v>2</v>
      <v>1</v>
      <v>3</v>
      <v>1</v>
      <v>1</v>
      <v>1</v>
      <v>4</v>
      <v>5</v>
      <v>6</v>
      <v>1</v>
      <v>1</v>
      <v>1</v>
      <v>7</v>
      <v>8</v>
      <v>9</v>
      <v>10</v>
      <v>9</v>
      <v>4</v>
      <v>1</v>
      <v>1</v>
      <v>5</v>
    </spb>
    <spb s="0">
      <v>16</v>
    </spb>
    <spb s="26">
      <v>1</v>
      <v>2</v>
      <v>1</v>
      <v>3</v>
      <v>1</v>
      <v>11</v>
      <v>1</v>
      <v>1</v>
      <v>4</v>
      <v>4</v>
      <v>5</v>
      <v>6</v>
      <v>1</v>
      <v>1</v>
      <v>1</v>
      <v>7</v>
      <v>8</v>
      <v>9</v>
      <v>10</v>
      <v>9</v>
      <v>4</v>
      <v>1</v>
      <v>1</v>
      <v>5</v>
    </spb>
    <spb s="20">
      <v>1</v>
      <v>2</v>
      <v>2</v>
      <v>1</v>
      <v>3</v>
      <v>1</v>
      <v>1</v>
      <v>1</v>
      <v>4</v>
      <v>4</v>
      <v>5</v>
      <v>13</v>
      <v>1</v>
      <v>1</v>
      <v>1</v>
      <v>7</v>
      <v>8</v>
      <v>9</v>
      <v>10</v>
      <v>9</v>
      <v>4</v>
      <v>1</v>
      <v>1</v>
      <v>5</v>
    </spb>
  </spbData>
</supportingPropertyBags>
</file>

<file path=xl/richData/rdsupportingpropertybagstructure.xml><?xml version="1.0" encoding="utf-8"?>
<spbStructures xmlns="http://schemas.microsoft.com/office/spreadsheetml/2017/richdata2" count="27">
  <s>
    <k n="^Order" t="spba"/>
  </s>
  <s>
    <k n="ShowInCardView" t="b"/>
    <k n="ShowInDotNotation" t="b"/>
    <k n="ShowInAutoComplete" t="b"/>
  </s>
  <s>
    <k n="ExchangeID" t="spb"/>
    <k n="UniqueName" t="spb"/>
    <k n="%ProviderInfo" t="spb"/>
  </s>
  <s>
    <k n="Low" t="i"/>
    <k n="P/E" t="i"/>
    <k n="Beta" t="i"/>
    <k n="High" t="i"/>
    <k n="Name" t="i"/>
    <k n="Open"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Price" t="s"/>
    <k n="Change" t="s"/>
    <k n="Change (%)" t="s"/>
    <k n="Last trade time" t="s"/>
  </s>
  <s>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Low" t="i"/>
    <k n="P/E" t="i"/>
    <k n="Beta" t="i"/>
    <k n="High" t="i"/>
    <k n="Name" t="i"/>
    <k n="Open"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s>
  <s>
    <k n="Price" t="s"/>
    <k n="Change" t="s"/>
    <k n="Change (%)" t="s"/>
    <k n="ExchangeID" t="s"/>
    <k n="Last trade time" t="s"/>
  </s>
  <s>
    <k n="Low" t="i"/>
    <k n="P/E" t="i"/>
    <k n="Beta" t="i"/>
    <k n="High" t="i"/>
    <k n="Name" t="i"/>
    <k n="Open" t="i"/>
    <k n="Image" t="i"/>
    <k n="Price" t="i"/>
    <k n="Change" t="i"/>
    <k n="Volume" t="i"/>
    <k n="Employees" t="i"/>
    <k n="Change (%)" t="i"/>
    <k n="Market cap" t="i"/>
    <k n="52 week low" t="i"/>
    <k n="52 week high" t="i"/>
    <k n="Previous close" t="i"/>
    <k n="_DisplayString" t="i"/>
    <k n="Last trade time" t="i"/>
    <k n="%EntityServiceId" t="i"/>
    <k n="%EntitySubDomainId" t="i"/>
    <k n="Shares outstanding" t="i"/>
  </s>
  <s>
    <k n="Low" t="i"/>
    <k n="Beta" t="i"/>
    <k n="High" t="i"/>
    <k n="Name" t="i"/>
    <k n="Open"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Low" t="i"/>
    <k n="P/E" t="i"/>
    <k n="Beta" t="i"/>
    <k n="High" t="i"/>
    <k n="Name" t="i"/>
    <k n="Open" t="i"/>
    <k n="Price" t="i"/>
    <k n="Change" t="i"/>
    <k n="Volume" t="i"/>
    <k n="Employees" t="i"/>
    <k n="Change (%)" t="i"/>
    <k n="Market cap" t="i"/>
    <k n="52 week low" t="i"/>
    <k n="52 week high" t="i"/>
    <k n="Previous close" t="i"/>
    <k n="_DisplayString" t="i"/>
    <k n="Last trade time" t="i"/>
    <k n="%EntityServiceId" t="i"/>
    <k n="%EntitySubDomainId" t="i"/>
    <k n="Shares outstanding" t="i"/>
  </s>
  <s>
    <k n="Low" t="i"/>
    <k n="P/E" t="i"/>
    <k n="Beta" t="i"/>
    <k n="High" t="i"/>
    <k n="Name" t="i"/>
    <k n="Open" t="i"/>
    <k n="Price" t="i"/>
    <k n="Change" t="i"/>
    <k n="Volume" t="i"/>
    <k n="Change (%)" t="i"/>
    <k n="Market cap" t="i"/>
    <k n="52 week low" t="i"/>
    <k n="52 week high" t="i"/>
    <k n="Previous close" t="i"/>
    <k n="_DisplayString" t="i"/>
    <k n="Last trade time" t="i"/>
    <k n="%EntityServiceId" t="i"/>
    <k n="Year incorporated" t="i"/>
    <k n="%EntitySubDomainId" t="i"/>
    <k n="Shares outstanding" t="i"/>
  </s>
  <s>
    <k n="Low" t="i"/>
    <k n="Beta" t="i"/>
    <k n="High" t="i"/>
    <k n="Name" t="i"/>
    <k n="Open" t="i"/>
    <k n="Price" t="i"/>
    <k n="Change" t="i"/>
    <k n="Volume" t="i"/>
    <k n="Change (%)" t="i"/>
    <k n="Market cap" t="i"/>
    <k n="52 week low" t="i"/>
    <k n="52 week high" t="i"/>
    <k n="Previous close" t="i"/>
    <k n="_DisplayString" t="i"/>
    <k n="Last trade time" t="i"/>
    <k n="%EntityServiceId" t="i"/>
    <k n="Year incorporated" t="i"/>
    <k n="%EntitySubDomainId" t="i"/>
    <k n="Shares outstanding" t="i"/>
  </s>
  <s>
    <k n="Low" t="i"/>
    <k n="Beta" t="i"/>
    <k n="High" t="i"/>
    <k n="Name" t="i"/>
    <k n="Open" t="i"/>
    <k n="Image"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UniqueName" t="spb"/>
    <k n="%ProviderInfo" t="spb"/>
  </s>
  <s>
    <k n="Name" t="i"/>
    <k n="Year" t="i"/>
    <k n="Month" t="i"/>
    <k n="Price" t="i"/>
    <k n="Change" t="i"/>
    <k n="Change (%)" t="i"/>
    <k n="_DisplayString" t="i"/>
    <k n="Expiration Date" t="i"/>
    <k n="Last trade time" t="i"/>
    <k n="%EntityServiceId" t="i"/>
    <k n="%EntitySubDomainId" t="i"/>
  </s>
  <s>
    <k n="Low" t="i"/>
    <k n="P/E" t="i"/>
    <k n="Beta" t="i"/>
    <k n="High" t="i"/>
    <k n="Name" t="i"/>
    <k n="Open" t="i"/>
    <k n="Image"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Image" t="i"/>
    <k n="Price" t="i"/>
    <k n="Change" t="i"/>
    <k n="Volume" t="i"/>
    <k n="Employees" t="i"/>
    <k n="Change (%)" t="i"/>
    <k n="Market cap" t="i"/>
    <k n="52 week low" t="i"/>
    <k n="52 week high" t="i"/>
    <k n="Previous close" t="i"/>
    <k n="_DisplayString" t="i"/>
    <k n="Last trade time" t="i"/>
    <k n="%EntityServiceId" t="i"/>
    <k n="%EntitySubDomainId" t="i"/>
    <k n="Shares outstanding" t="i"/>
    <k n="Price (Extended hours)" t="i"/>
    <k n="Change (Extended hours)" t="i"/>
    <k n="Change % (Extended hours)" t="i"/>
  </s>
  <s>
    <k n="Low" t="i"/>
    <k n="P/E" t="i"/>
    <k n="Beta" t="i"/>
    <k n="High" t="i"/>
    <k n="Name" t="i"/>
    <k n="Open" t="i"/>
    <k n="Price" t="i"/>
    <k n="Change" t="i"/>
    <k n="Volume" t="i"/>
    <k n="Change (%)" t="i"/>
    <k n="Market cap" t="i"/>
    <k n="52 week low" t="i"/>
    <k n="52 week high" t="i"/>
    <k n="Previous close" t="i"/>
    <k n="_DisplayString" t="i"/>
    <k n="Last trade time" t="i"/>
    <k n="%EntityServiceId" t="i"/>
    <k n="Year incorporated" t="i"/>
    <k n="%EntitySubDomainId" t="i"/>
    <k n="Shares outstanding" t="i"/>
    <k n="Price (Extended hours)" t="i"/>
    <k n="Change (Extended hours)" t="i"/>
    <k n="Change % (Extended hours)" t="i"/>
  </s>
  <s>
    <k n="Low" t="i"/>
    <k n="Beta" t="i"/>
    <k n="High" t="i"/>
    <k n="Name" t="i"/>
    <k n="Open" t="i"/>
    <k n="Price" t="i"/>
    <k n="Change" t="i"/>
    <k n="Volume" t="i"/>
    <k n="Change (%)" t="i"/>
    <k n="Market cap" t="i"/>
    <k n="52 week low" t="i"/>
    <k n="52 week high" t="i"/>
    <k n="Previous close" t="i"/>
    <k n="_DisplayString" t="i"/>
    <k n="Last trade time" t="i"/>
    <k n="%EntityServiceId" t="i"/>
    <k n="Year incorporated" t="i"/>
    <k n="%EntitySubDomainId" t="i"/>
    <k n="Shares outstanding" t="i"/>
    <k n="Price (Extended hours)" t="i"/>
    <k n="Change (Extended hours)" t="i"/>
    <k n="Change % (Extended hours)" t="i"/>
  </s>
  <s>
    <k n="Low" t="i"/>
    <k n="Beta" t="i"/>
    <k n="High" t="i"/>
    <k n="Name" t="i"/>
    <k n="Open" t="i"/>
    <k n="Image"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1">
    <x:dxf>
      <x:numFmt numFmtId="167" formatCode="_-[$$-1009]* #,##0.00_-;\-[$$-1009]* #,##0.00_-;_-[$$-1009]* &quot;-&quot;??_-;_-@_-"/>
    </x:dxf>
    <x:dxf>
      <x:numFmt numFmtId="4" formatCode="#,##0.00"/>
    </x:dxf>
    <x:dxf>
      <x:numFmt numFmtId="3" formatCode="#,##0"/>
    </x:dxf>
    <x:dxf>
      <x:numFmt numFmtId="14" formatCode="0.00%"/>
    </x:dxf>
    <x:dxf>
      <x:numFmt numFmtId="166" formatCode="_([$$-409]* #,##0_);_([$$-409]* \(#,##0\);_([$$-409]* &quot;-&quot;_);_(@_)"/>
    </x:dxf>
    <x:dxf>
      <x:numFmt numFmtId="27" formatCode="yyyy/mm/dd\ h:mm"/>
    </x:dxf>
    <x:dxf>
      <x:numFmt numFmtId="2" formatCode="0.00"/>
    </x:dxf>
    <x:dxf>
      <x:numFmt numFmtId="1" formatCode="0"/>
    </x:dxf>
    <x:dxf>
      <x:numFmt numFmtId="165" formatCode="_([$$-409]* #,##0.00_);_([$$-409]* \(#,##0.00\);_([$$-409]* &quot;-&quot;??_);_(@_)"/>
    </x:dxf>
    <x:dxf>
      <x:numFmt numFmtId="164" formatCode="_-[$$-1009]* #,##0_-;\-[$$-1009]* #,##0_-;_-[$$-1009]* &quot;-&quot;_-;_-@_-"/>
    </x:dxf>
    <x:dxf>
      <x:numFmt numFmtId="19" formatCode="yyyy/mm/dd"/>
    </x:dxf>
  </dxfs>
  <richProperties>
    <rPr n="IsTitleField" t="b"/>
    <rPr n="ShouldShowInCell" t="b"/>
    <rPr n="IsHeroField" t="b"/>
  </richProperties>
  <richStyles>
    <rSty dxfid="0"/>
    <rSty dxfid="1"/>
    <rSty>
      <rpv i="0">1</rpv>
    </rSty>
    <rSty dxfid="2"/>
    <rSty dxfid="3"/>
    <rSty dxfid="4"/>
    <rSty>
      <rpv i="1">1</rpv>
    </rSty>
    <rSty dxfid="5"/>
    <rSty dxfid="6"/>
    <rSty dxfid="7"/>
    <rSty>
      <rpv i="2">1</rpv>
    </rSty>
    <rSty dxfid="8"/>
    <rSty dxfid="9"/>
    <rSty dxfid="1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EBF6B39-083F-45B8-8F65-D3BFEACEDC24}" sourceName="Category">
  <extLst>
    <x:ext xmlns:x15="http://schemas.microsoft.com/office/spreadsheetml/2010/11/main" uri="{2F2917AC-EB37-4324-AD4E-5DD8C200BD13}">
      <x15:tableSlicerCache tableId="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E05CE036-49B2-420C-8C50-09C7F7814EF4}" sourceName="Category">
  <extLst>
    <x:ext xmlns:x15="http://schemas.microsoft.com/office/spreadsheetml/2010/11/main" uri="{2F2917AC-EB37-4324-AD4E-5DD8C200BD13}">
      <x15:tableSlicerCache tableId="23"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893713D5-831A-4362-B423-846870DEE3BA}" sourceName="Category">
  <extLst>
    <x:ext xmlns:x15="http://schemas.microsoft.com/office/spreadsheetml/2010/11/main" uri="{2F2917AC-EB37-4324-AD4E-5DD8C200BD13}">
      <x15:tableSlicerCache tableId="28"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441CFE89-C5A2-4801-8496-03346B19524F}" sourceName="Category">
  <extLst>
    <x:ext xmlns:x15="http://schemas.microsoft.com/office/spreadsheetml/2010/11/main" uri="{2F2917AC-EB37-4324-AD4E-5DD8C200BD13}">
      <x15:tableSlicerCache tableId="15"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 xr10:uid="{43201111-FC70-4C81-AF43-F4F54E9221E0}" sourceName="Category">
  <extLst>
    <x:ext xmlns:x15="http://schemas.microsoft.com/office/spreadsheetml/2010/11/main" uri="{2F2917AC-EB37-4324-AD4E-5DD8C200BD13}">
      <x15:tableSlicerCache tableId="37"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1" xr10:uid="{7CB866B3-68AE-4990-A1C8-6EAB6297AFA3}" sourceName="Category">
  <extLst>
    <x:ext xmlns:x15="http://schemas.microsoft.com/office/spreadsheetml/2010/11/main" uri="{2F2917AC-EB37-4324-AD4E-5DD8C200BD13}">
      <x15:tableSlicerCache tableId="38"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11" xr10:uid="{9E7AA865-B159-4828-8802-B15DEABC9410}" sourceName="Category">
  <extLst>
    <x:ext xmlns:x15="http://schemas.microsoft.com/office/spreadsheetml/2010/11/main" uri="{2F2917AC-EB37-4324-AD4E-5DD8C200BD13}">
      <x15:tableSlicerCache tableId="39"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F7973621-DAB5-4FA0-A1C0-A0C3CB8CCED3}" cache="Slicer_Category" caption="Category Filte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5" xr10:uid="{16CAF922-36D3-4FD6-B269-692CA0D59B2F}" cache="Slicer_Category4" caption="Category"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6" xr10:uid="{1AB68AA6-DA03-4989-996B-6BED49CF3896}" cache="Slicer_Category41" caption="Category"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7" xr10:uid="{1C554AF5-8849-4277-9311-099D62BF63E6}" cache="Slicer_Category411" caption="Category"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66DAF9FD-9EB9-414E-A350-AF406A964240}" cache="Slicer_Category" caption="Category"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25B094EE-47CF-4E6C-A222-FB40467D0CA7}" cache="Slicer_Category1" caption="Category"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3" xr10:uid="{5284FD57-0251-43C1-AC73-7B82561B58F5}" cache="Slicer_Category2" caption="Category"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4" xr10:uid="{3779F4B7-A2E4-49D5-89BD-34FE925E7E16}" cache="Slicer_Category3" caption="Categor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8D20782-5654-438C-A122-9A7E9D8A3B3A}" name="Table3638" displayName="Table3638" ref="B7:F36" totalsRowShown="0" headerRowDxfId="612" headerRowBorderDxfId="611">
  <autoFilter ref="B7:F36" xr:uid="{64BD557B-C6AB-4135-99FF-54087ABCB1F8}"/>
  <sortState xmlns:xlrd2="http://schemas.microsoft.com/office/spreadsheetml/2017/richdata2" ref="B8:F36">
    <sortCondition ref="D7:D36"/>
  </sortState>
  <tableColumns count="5">
    <tableColumn id="1" xr3:uid="{12751731-C3FC-4CCA-8268-4939A6B0D168}" name="Company" dataDxfId="610"/>
    <tableColumn id="2" xr3:uid="{6B642D1F-E82F-4C81-AB27-879050D155D8}" name="Category" dataDxfId="609">
      <calculatedColumnFormula>VLOOKUP(B8,Table1[],2,FALSE)</calculatedColumnFormula>
    </tableColumn>
    <tableColumn id="3" xr3:uid="{72486A9E-8407-473A-AC5C-53531932444E}" name="Guidance" dataDxfId="608" dataCellStyle="Comma">
      <calculatedColumnFormula>VLOOKUP(B8,Table1[],13,FALSE)</calculatedColumnFormula>
    </tableColumn>
    <tableColumn id="4" xr3:uid="{FF04B1DE-5C2A-4ADC-8EF0-8AA2268CA238}" name="AISC " dataDxfId="607">
      <calculatedColumnFormula>VLOOKUP(B8,Table1[],18,FALSE)</calculatedColumnFormula>
    </tableColumn>
    <tableColumn id="5" xr3:uid="{DE52213C-7C5B-4286-88EA-57B0FC4E837F}" name="Estimated 2020 OPSCF" dataDxfId="606" dataCellStyle="Currency">
      <calculatedColumnFormula>VLOOKUP(B8,Table1[],27,FALSE)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EFD6B74-F1DE-48FB-AFDB-8795FE8BAC62}" name="Table363839" displayName="Table363839" ref="B7:F36" totalsRowShown="0" headerRowDxfId="605" headerRowBorderDxfId="604">
  <autoFilter ref="B7:F36" xr:uid="{64BD557B-C6AB-4135-99FF-54087ABCB1F8}"/>
  <sortState xmlns:xlrd2="http://schemas.microsoft.com/office/spreadsheetml/2017/richdata2" ref="B8:F36">
    <sortCondition ref="D7:D36"/>
  </sortState>
  <tableColumns count="5">
    <tableColumn id="1" xr3:uid="{188EE903-C083-4167-97EC-E08D7813909C}" name="Company" dataDxfId="603"/>
    <tableColumn id="2" xr3:uid="{40142A37-B0FA-43B9-8280-CF0A454496F8}" name="Category" dataDxfId="602">
      <calculatedColumnFormula>VLOOKUP(B8,Table1[],2,FALSE)</calculatedColumnFormula>
    </tableColumn>
    <tableColumn id="3" xr3:uid="{65E7FB40-9E1E-4234-9858-66153070DD2F}" name="Market Cap" dataDxfId="601" dataCellStyle="Comma">
      <calculatedColumnFormula>VLOOKUP(B8,Table1[],4,FALSE)</calculatedColumnFormula>
    </tableColumn>
    <tableColumn id="4" xr3:uid="{5E9B064F-D491-4AD4-BD48-A9F613434C2C}" name="P/CFPS" dataDxfId="600">
      <calculatedColumnFormula>VLOOKUP(B8,Table1[],28,FALSE)</calculatedColumnFormula>
    </tableColumn>
    <tableColumn id="5" xr3:uid="{330F06CD-4489-406E-9691-39D518F7D994}" name="2019 P/E" dataDxfId="599" dataCellStyle="Currency">
      <calculatedColumnFormula>VLOOKUP(B8,Table1[],29,FALSE)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CEAD9C5-5A56-4189-8D55-615899A069F7}" name="Table36383940" displayName="Table36383940" ref="B7:F36" totalsRowShown="0" headerRowDxfId="598" headerRowBorderDxfId="597">
  <autoFilter ref="B7:F36" xr:uid="{64BD557B-C6AB-4135-99FF-54087ABCB1F8}"/>
  <sortState xmlns:xlrd2="http://schemas.microsoft.com/office/spreadsheetml/2017/richdata2" ref="B8:F36">
    <sortCondition ref="E7:E36"/>
  </sortState>
  <tableColumns count="5">
    <tableColumn id="1" xr3:uid="{B9A54A14-BD5C-4B80-953A-2F8A630FCB52}" name="Company" dataDxfId="596"/>
    <tableColumn id="2" xr3:uid="{26118080-2132-4A5E-964F-36920BFDC3E5}" name="Category" dataDxfId="595">
      <calculatedColumnFormula>VLOOKUP(B8,Table1[],2,FALSE)</calculatedColumnFormula>
    </tableColumn>
    <tableColumn id="3" xr3:uid="{F31BA2A4-36C6-45F2-B1AB-3D4A1B772F3B}" name="Market Cap" dataDxfId="594" dataCellStyle="Comma">
      <calculatedColumnFormula>VLOOKUP(B8,Table1[],4,FALSE)</calculatedColumnFormula>
    </tableColumn>
    <tableColumn id="4" xr3:uid="{82E20364-9E1F-4B52-A3FC-6D735D0300EC}" name="Reserve" dataDxfId="593">
      <calculatedColumnFormula>VLOOKUP(B8,Table1[],24,FALSE)</calculatedColumnFormula>
    </tableColumn>
    <tableColumn id="5" xr3:uid="{CC68D51F-50E6-48D1-9359-D27DD0C02C81}" name="Risk Rating" dataDxfId="592" dataCellStyle="Currency">
      <calculatedColumnFormula>VLOOKUP(B8,Table2[],38,FALSE)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BB0ADB8-037E-499B-AF8A-77CF954EDA8B}" name="Table30" displayName="Table30" ref="A2:B6" totalsRowShown="0" headerRowDxfId="591">
  <autoFilter ref="A2:B6" xr:uid="{A7F053C3-D35A-4033-A4AC-CB03FB1112D5}"/>
  <tableColumns count="2">
    <tableColumn id="1" xr3:uid="{B2DE6582-6372-4843-916E-AB5A3C6077B1}" name="Ratio" dataDxfId="590"/>
    <tableColumn id="2" xr3:uid="{EC787030-486F-437F-A7C2-E17E6B14D00A}" name="Average" dataDxfId="58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A9DFB76-3018-4FEF-9BF8-67F0BA4732E6}" name="Table33" displayName="Table33" ref="I4:L33" totalsRowShown="0" headerRowDxfId="588">
  <autoFilter ref="I4:L33" xr:uid="{7858DF05-0EF6-4BD0-9B2F-D9ECEEEC3808}"/>
  <tableColumns count="4">
    <tableColumn id="1" xr3:uid="{1D8F6D3A-75E4-49C6-BB8B-D4BC010870DF}" name="Company" dataDxfId="587">
      <calculatedColumnFormula>D5</calculatedColumnFormula>
    </tableColumn>
    <tableColumn id="4" xr3:uid="{16727508-2F7D-4A2D-AAE8-731BFBC8550C}" name="Category" dataDxfId="586">
      <calculatedColumnFormula>VLOOKUP(Table33[[#This Row],[Company]],Table1[],2,FALSE)</calculatedColumnFormula>
    </tableColumn>
    <tableColumn id="2" xr3:uid="{3E465A8F-FA95-45C3-90E8-3E14B45682BC}" name="Binary" dataDxfId="585">
      <calculatedColumnFormula>F5</calculatedColumnFormula>
    </tableColumn>
    <tableColumn id="3" xr3:uid="{3AC9E170-6D58-444B-B03D-1A7F6E4C904A}" name="Combined" dataDxfId="584">
      <calculatedColumnFormula>G5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C277931-F093-40CF-9FF5-C1EA2DAEDDDB}" name="Table6" displayName="Table6" ref="A3:J33" totalsRowCount="1" headerRowDxfId="583" dataDxfId="581" headerRowBorderDxfId="582" tableBorderDxfId="580" dataCellStyle="Comma">
  <autoFilter ref="A3:J32" xr:uid="{76C86E76-F193-4CD4-B4FF-CAA9ECB49056}">
    <filterColumn colId="1">
      <filters>
        <filter val="Large Cap Senior"/>
      </filters>
    </filterColumn>
  </autoFilter>
  <sortState xmlns:xlrd2="http://schemas.microsoft.com/office/spreadsheetml/2017/richdata2" ref="A4:F32">
    <sortCondition descending="1" ref="C4:C32"/>
    <sortCondition descending="1" ref="D4:D32"/>
    <sortCondition ref="E4:E32"/>
    <sortCondition ref="F4:F32"/>
  </sortState>
  <tableColumns count="10">
    <tableColumn id="1" xr3:uid="{842A756B-6375-4F60-B351-0458A0583A87}" name="Company" totalsRowLabel="Average" dataDxfId="579" totalsRowDxfId="578" dataCellStyle="Comma">
      <calculatedColumnFormula>'Production &amp; FA'!B12</calculatedColumnFormula>
    </tableColumn>
    <tableColumn id="2" xr3:uid="{ADDF5FD3-1407-404A-9333-3404A04D398F}" name="Category" dataDxfId="577" totalsRowDxfId="576" dataCellStyle="Comma">
      <calculatedColumnFormula>VLOOKUP($A4,Table1[],2,FALSE)</calculatedColumnFormula>
    </tableColumn>
    <tableColumn id="3" xr3:uid="{FA704D5B-48CD-4CCB-A8AB-A0653D96FEE5}" name="Current Ratio" totalsRowFunction="average" dataDxfId="575" totalsRowDxfId="574" dataCellStyle="Comma">
      <calculatedColumnFormula>VLOOKUP($A4,Table1[],36,FALSE)</calculatedColumnFormula>
    </tableColumn>
    <tableColumn id="4" xr3:uid="{0CA0C999-07FD-4337-B700-8A90D5086DF5}" name="Cash Ratio" totalsRowFunction="average" dataDxfId="573" totalsRowDxfId="572" dataCellStyle="Comma">
      <calculatedColumnFormula>VLOOKUP($A4,Table1[],37,FALSE)</calculatedColumnFormula>
    </tableColumn>
    <tableColumn id="5" xr3:uid="{3D67EB62-D8B6-4490-8AF3-374179111482}" name="Debt-Equity" totalsRowFunction="average" dataDxfId="571" totalsRowDxfId="570" dataCellStyle="Comma">
      <calculatedColumnFormula>VLOOKUP($A4,Table1[],38,FALSE)</calculatedColumnFormula>
    </tableColumn>
    <tableColumn id="6" xr3:uid="{E44A8AA4-742B-4D54-9333-1279D2403529}" name="Debt-Assest" totalsRowFunction="average" dataDxfId="569" totalsRowDxfId="568" dataCellStyle="Comma">
      <calculatedColumnFormula>VLOOKUP($A4,Table1[],39,FALSE)</calculatedColumnFormula>
    </tableColumn>
    <tableColumn id="7" xr3:uid="{63071D6E-6C4F-49AA-BCE7-3C35F2EDD19B}" name="Current Ratio Average" dataDxfId="567" totalsRowDxfId="566" dataCellStyle="Comma">
      <calculatedColumnFormula>Table6[[#Totals],[Current Ratio]]</calculatedColumnFormula>
    </tableColumn>
    <tableColumn id="8" xr3:uid="{DA1D78B3-C3F5-4FAB-9AD4-3EAA4F87C3BB}" name="Cash Ratio Average" dataDxfId="565" totalsRowDxfId="564" dataCellStyle="Comma">
      <calculatedColumnFormula>Table6[[#Totals],[Cash Ratio]]</calculatedColumnFormula>
    </tableColumn>
    <tableColumn id="9" xr3:uid="{BD03E1D3-83E3-4D00-AA7F-040C560439B5}" name="Debt-Equity Average" dataDxfId="563" dataCellStyle="Comma">
      <calculatedColumnFormula>Table6[[#Totals],[Debt-Equity]]</calculatedColumnFormula>
    </tableColumn>
    <tableColumn id="10" xr3:uid="{A1FEE4E9-6EB8-442A-9044-31BB1E13BD98}" name="Debit Asset Average" dataDxfId="562" dataCellStyle="Comma">
      <calculatedColumnFormula>Table6[[#Totals],[Debt-Assest]]</calculatedColumnFormula>
    </tableColumn>
  </tableColumns>
  <tableStyleInfo name="TableStyleMedium1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D6B5C5F-1A5C-4616-A5BD-64DD6B32EC90}" name="Table15" displayName="Table15" ref="A35:C64" totalsRowShown="0" headerRowDxfId="561" headerRowBorderDxfId="560" tableBorderDxfId="559">
  <autoFilter ref="A35:C64" xr:uid="{5BED2318-8EBB-4142-86EF-B7ED9D2B3CD6}"/>
  <sortState xmlns:xlrd2="http://schemas.microsoft.com/office/spreadsheetml/2017/richdata2" ref="A36:C64">
    <sortCondition ref="C35:C64"/>
  </sortState>
  <tableColumns count="3">
    <tableColumn id="1" xr3:uid="{00BCBA82-3054-432E-AFB6-B0146A765930}" name="Company" dataDxfId="558" dataCellStyle="Comma"/>
    <tableColumn id="2" xr3:uid="{A412618A-8E2C-4690-A56A-1D928639D6D5}" name="Category" dataDxfId="557" dataCellStyle="Comma">
      <calculatedColumnFormula>VLOOKUP($A36,Table1[],2,FALSE)</calculatedColumnFormula>
    </tableColumn>
    <tableColumn id="3" xr3:uid="{93D409E1-C3A0-4665-BB1F-F45669FDEC57}" name="2020E Guidance Revised " dataDxfId="556" dataCellStyle="Comma">
      <calculatedColumnFormula>VLOOKUP(Table15[[#This Row],[Company]],Table1[],13,FALSE)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97F463-8AD8-4E69-B59B-23AD7FA1FD33}" name="Table16" displayName="Table16" ref="E35:H65" totalsRowCount="1" headerRowDxfId="555" tableBorderDxfId="554">
  <autoFilter ref="E35:H64" xr:uid="{3231F4C3-60A7-4F3F-A853-9DF72378FC4E}"/>
  <sortState xmlns:xlrd2="http://schemas.microsoft.com/office/spreadsheetml/2017/richdata2" ref="E36:H64">
    <sortCondition ref="G35:G64"/>
  </sortState>
  <tableColumns count="4">
    <tableColumn id="1" xr3:uid="{42ED9033-0908-4CA6-A88C-698D2B9079CC}" name="Company" totalsRowLabel="Total" dataDxfId="553" totalsRowDxfId="3" dataCellStyle="Comma"/>
    <tableColumn id="2" xr3:uid="{EDD2812A-8025-45A8-AA18-46F21ECED301}" name="Category" dataDxfId="552" totalsRowDxfId="2" dataCellStyle="Comma">
      <calculatedColumnFormula>VLOOKUP(Table16[[#This Row],[Company]],Table1[],2,FALSE)</calculatedColumnFormula>
    </tableColumn>
    <tableColumn id="3" xr3:uid="{4BC196C9-62EE-4D8F-82D8-56BF34642BC0}" name="AISC 2020E Guidance" totalsRowFunction="average" dataDxfId="551" totalsRowDxfId="1" dataCellStyle="Comma">
      <calculatedColumnFormula>VLOOKUP(Table16[[#This Row],[Company]],Table1[],18,FALSE)</calculatedColumnFormula>
    </tableColumn>
    <tableColumn id="4" xr3:uid="{6F545363-2D40-4728-AE50-17B917E70221}" name="AISC Average" totalsRowFunction="sum" dataDxfId="550" totalsRowDxfId="0" dataCellStyle="Comma">
      <calculatedColumnFormula>Table16[[#Totals],[AISC 2020E Guidance]]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A91152E-AB9A-4983-8FBD-4F681B4B1BE1}" name="Table17" displayName="Table17" ref="J35:L64" totalsRowShown="0" tableBorderDxfId="549">
  <autoFilter ref="J35:L64" xr:uid="{8FE2D2C7-022D-4509-926D-67A3E1EDCE21}">
    <filterColumn colId="1">
      <filters>
        <filter val="Large Cap Senior"/>
      </filters>
    </filterColumn>
  </autoFilter>
  <sortState xmlns:xlrd2="http://schemas.microsoft.com/office/spreadsheetml/2017/richdata2" ref="J36:L64">
    <sortCondition ref="L35:L64"/>
  </sortState>
  <tableColumns count="3">
    <tableColumn id="1" xr3:uid="{E5E342A7-2E48-43F7-8A3B-07625BE56BCA}" name="Company" dataDxfId="548" dataCellStyle="Comma"/>
    <tableColumn id="2" xr3:uid="{7F1921EF-76A8-4929-951E-5F1B73E0FDF4}" name="Category" dataDxfId="547" dataCellStyle="Comma">
      <calculatedColumnFormula>VLOOKUP(Table17[[#This Row],[Company]],Table1[],2,FALSE)</calculatedColumnFormula>
    </tableColumn>
    <tableColumn id="3" xr3:uid="{20D82BA1-EB9D-406E-B47A-A9794FD20101}" name="Estimated 2020 OPSCF" dataDxfId="546" dataCellStyle="Currency">
      <calculatedColumnFormula>VLOOKUP(Table17[[#This Row],[Company]],Table1[],27,FALSE)</calculatedColumnFormula>
    </tableColumn>
  </tableColumns>
  <tableStyleInfo name="TableStyleLight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919D2AB-A539-486F-878D-37C758B026A6}" name="Table18" displayName="Table18" ref="A67:H95" totalsRowShown="0" headerRowDxfId="545" dataDxfId="544" tableBorderDxfId="543" dataCellStyle="Comma">
  <autoFilter ref="A67:H95" xr:uid="{168AE54D-EDBE-474E-981D-91F58851E2C4}"/>
  <tableColumns count="8">
    <tableColumn id="1" xr3:uid="{15928C63-F649-4993-94ED-89281923071E}" name="Company" dataDxfId="542" dataCellStyle="Comma"/>
    <tableColumn id="2" xr3:uid="{7264032C-236A-44CA-A447-5ECF06D2D3E7}" name="Category" dataDxfId="541" dataCellStyle="Comma">
      <calculatedColumnFormula>VLOOKUP($A68,Table1[],2,FALSE)</calculatedColumnFormula>
    </tableColumn>
    <tableColumn id="3" xr3:uid="{765FAD35-E021-4C7C-A0D6-12FFAFD5DAE9}" name="Rev 3Yr Growth" dataDxfId="540" dataCellStyle="Percent">
      <calculatedColumnFormula>VLOOKUP($A68,Table1[],32,FALSE)</calculatedColumnFormula>
    </tableColumn>
    <tableColumn id="4" xr3:uid="{4E8E3F1E-1A73-4103-922C-B75DAB52FAFD}" name="ROA% TTM " dataDxfId="539" dataCellStyle="Percent">
      <calculatedColumnFormula>VLOOKUP($A68,Table1[],33,FALSE)</calculatedColumnFormula>
    </tableColumn>
    <tableColumn id="5" xr3:uid="{873EA600-791E-4D70-A2CF-1D08A3265F45}" name="ROE % TTM " dataDxfId="538" dataCellStyle="Percent">
      <calculatedColumnFormula>VLOOKUP($A68,Table1[],34,FALSE)</calculatedColumnFormula>
    </tableColumn>
    <tableColumn id="6" xr3:uid="{E3762DCB-204F-4506-B517-61C701AA0D39}" name="Net Margin% TTM" dataDxfId="537" dataCellStyle="Percent">
      <calculatedColumnFormula>VLOOKUP($A68,Table1[],35,FALSE)</calculatedColumnFormula>
    </tableColumn>
    <tableColumn id="7" xr3:uid="{DBE46530-17C8-4839-BB4A-B494F8A2B8E2}" name="2020 P/CFPS" dataDxfId="536" dataCellStyle="Comma">
      <calculatedColumnFormula>VLOOKUP($A68,Table1[],28,FALSE)</calculatedColumnFormula>
    </tableColumn>
    <tableColumn id="8" xr3:uid="{A6E87871-C9AA-42F0-B6E4-202F7ECECEB6}" name="2019 EPS" dataDxfId="535" dataCellStyle="Comma">
      <calculatedColumnFormula>VLOOKUP($A68,Table1[],30,FALSE)</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D486949-4A33-4DE2-8826-8F80673BD278}" name="Table19" displayName="Table19" ref="A98:C127" totalsRowShown="0" tableBorderDxfId="534">
  <autoFilter ref="A98:C127" xr:uid="{96CDA9F6-999A-4964-9D97-136B2314772D}"/>
  <sortState xmlns:xlrd2="http://schemas.microsoft.com/office/spreadsheetml/2017/richdata2" ref="A99:C127">
    <sortCondition ref="C98:C127"/>
  </sortState>
  <tableColumns count="3">
    <tableColumn id="1" xr3:uid="{5BF8BF22-6B14-42B6-BBEE-890D30626B04}" name="Company" dataDxfId="533" dataCellStyle="Comma"/>
    <tableColumn id="2" xr3:uid="{668B5F62-2F9A-4F01-9221-C897C2E2E967}" name="Category" dataDxfId="532" dataCellStyle="Comma">
      <calculatedColumnFormula>VLOOKUP($A99,Table1[],2,FALSE)</calculatedColumnFormula>
    </tableColumn>
    <tableColumn id="3" xr3:uid="{6E08C3E2-0FEB-46CC-BAD6-7564EBD4B3AE}" name="Rev 3Yr Growth" dataDxfId="531" dataCellStyle="Percent">
      <calculatedColumnFormula>VLOOKUP(Table19[[#This Row],[Company]],Table1[],32,FALSE)</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E8C159B-AE8A-429A-A5F8-5171D388C92C}" name="Table20" displayName="Table20" ref="A129:C158" totalsRowShown="0" tableBorderDxfId="530">
  <autoFilter ref="A129:C158" xr:uid="{C77B641D-CB54-46DF-936E-84ED2AD3472C}"/>
  <sortState xmlns:xlrd2="http://schemas.microsoft.com/office/spreadsheetml/2017/richdata2" ref="A130:C158">
    <sortCondition ref="C129:C158"/>
  </sortState>
  <tableColumns count="3">
    <tableColumn id="1" xr3:uid="{33F1B3D1-DFE1-4196-8956-463FCBF6A77F}" name="Company" dataDxfId="529" dataCellStyle="Comma"/>
    <tableColumn id="2" xr3:uid="{72FF0E81-F9A5-488B-A924-58BF92815949}" name="Category" dataDxfId="528" dataCellStyle="Comma">
      <calculatedColumnFormula>VLOOKUP($A130,Table1[],2,FALSE)</calculatedColumnFormula>
    </tableColumn>
    <tableColumn id="3" xr3:uid="{0E56F0E1-D100-4975-AEFE-D05C677B76D1}" name="ROA% TTM " dataDxfId="527" dataCellStyle="Percent">
      <calculatedColumnFormula>VLOOKUP(Table20[[#This Row],[Company]],Table1[],33,FALSE)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BCBEE0B-FEE1-4992-9C7A-49E8A2D1ABB7}" name="Table21" displayName="Table21" ref="E98:G127" totalsRowShown="0" dataDxfId="526" tableBorderDxfId="525" dataCellStyle="Comma">
  <autoFilter ref="E98:G127" xr:uid="{AA152B5D-F12E-4221-AEED-4FE755771FED}"/>
  <sortState xmlns:xlrd2="http://schemas.microsoft.com/office/spreadsheetml/2017/richdata2" ref="E99:G127">
    <sortCondition ref="G98:G127"/>
  </sortState>
  <tableColumns count="3">
    <tableColumn id="1" xr3:uid="{0B3B9CAD-9E2E-4B1E-9254-C466361CAB6C}" name="Company" dataDxfId="524" dataCellStyle="Comma"/>
    <tableColumn id="2" xr3:uid="{9AC0D33A-0649-42AB-85FE-6C25E0F58497}" name="Category" dataDxfId="523" dataCellStyle="Comma">
      <calculatedColumnFormula>VLOOKUP($A99,Table1[],2,FALSE)</calculatedColumnFormula>
    </tableColumn>
    <tableColumn id="3" xr3:uid="{D663E102-04A7-4EF4-93A2-10B874553D7A}" name="ROE % TTM " dataDxfId="522" dataCellStyle="Percent">
      <calculatedColumnFormula>VLOOKUP(Table21[[#This Row],[Company]],Table1[],34,FALSE)</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93C9FCB-3B5B-42C6-999D-014FDB6B9467}" name="Table22" displayName="Table22" ref="E129:G158" totalsRowShown="0" tableBorderDxfId="521">
  <autoFilter ref="E129:G158" xr:uid="{01A88D89-FA2C-4BDD-98D8-CA09B6532A64}"/>
  <sortState xmlns:xlrd2="http://schemas.microsoft.com/office/spreadsheetml/2017/richdata2" ref="E130:G158">
    <sortCondition ref="G129:G158"/>
  </sortState>
  <tableColumns count="3">
    <tableColumn id="1" xr3:uid="{3D398D51-A2A8-41C9-9CAB-0822850F2CB5}" name="Company" dataDxfId="520" dataCellStyle="Comma"/>
    <tableColumn id="2" xr3:uid="{A06955D3-15A9-4174-AE24-C66C56FF3FD7}" name="Category" dataDxfId="519" dataCellStyle="Comma">
      <calculatedColumnFormula>VLOOKUP($A130,Table1[],2,FALSE)</calculatedColumnFormula>
    </tableColumn>
    <tableColumn id="3" xr3:uid="{B49E963D-E3E1-474A-BEAE-E96AF4DF9B33}" name="Net Margin% TTM" dataDxfId="518" dataCellStyle="Percent">
      <calculatedColumnFormula>VLOOKUP(Table22[[#This Row],[Company]],Table1[],35,FALSE)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9B88648-BA80-445C-9CE7-9579C9D0D271}" name="Table23" displayName="Table23" ref="A160:D189" totalsRowShown="0" tableBorderDxfId="517">
  <autoFilter ref="A160:D189" xr:uid="{B57F16EA-5B0D-4A0E-A8D1-86BC6D38135C}"/>
  <sortState xmlns:xlrd2="http://schemas.microsoft.com/office/spreadsheetml/2017/richdata2" ref="A161:D189">
    <sortCondition ref="D160:D189"/>
  </sortState>
  <tableColumns count="4">
    <tableColumn id="1" xr3:uid="{708958AC-A941-4B44-8851-6B8FA2874BBF}" name="Company" dataDxfId="516" dataCellStyle="Comma"/>
    <tableColumn id="2" xr3:uid="{9643832D-26F4-4A49-805C-8F491963B1E6}" name="Category" dataDxfId="515" dataCellStyle="Comma">
      <calculatedColumnFormula>VLOOKUP($A161,Table1[],2,FALSE)</calculatedColumnFormula>
    </tableColumn>
    <tableColumn id="4" xr3:uid="{A8DD6C16-E7BC-4917-B359-07391DF0AFFF}" name="Market Cap" dataDxfId="514" dataCellStyle="Comma">
      <calculatedColumnFormula>VLOOKUP(Table23[[#This Row],[Company]],Table1[],4,FALSE)</calculatedColumnFormula>
    </tableColumn>
    <tableColumn id="3" xr3:uid="{E755DD77-035E-48CD-8D12-00400D723ECE}" name="2020 P/CFPS" dataDxfId="513" dataCellStyle="Comma">
      <calculatedColumnFormula>VLOOKUP(Table23[[#This Row],[Company]],Table1[],28,FALSE)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2D42E8E-7EBF-4C71-A80E-415EA34F27DF}" name="Table24" displayName="Table24" ref="F160:I189" totalsRowShown="0" tableBorderDxfId="512">
  <autoFilter ref="F160:I189" xr:uid="{CC890E37-CBC1-4855-A9AD-1C0A0A14B3AC}"/>
  <sortState xmlns:xlrd2="http://schemas.microsoft.com/office/spreadsheetml/2017/richdata2" ref="F161:I189">
    <sortCondition ref="I160:I189"/>
  </sortState>
  <tableColumns count="4">
    <tableColumn id="1" xr3:uid="{E3A24EBE-2923-4B24-BC4A-8B5AE60A5C7E}" name="Company" dataDxfId="511" dataCellStyle="Comma"/>
    <tableColumn id="2" xr3:uid="{D4573772-CAA3-4875-B0D2-8CD8835CCD59}" name="Category" dataDxfId="510" dataCellStyle="Comma">
      <calculatedColumnFormula>VLOOKUP(Table24[[#This Row],[Company]],Table1[],2,FALSE)</calculatedColumnFormula>
    </tableColumn>
    <tableColumn id="4" xr3:uid="{2E2750B2-BE1F-45C6-82F8-A3C6615BEF13}" name="Market Cap" dataDxfId="509" dataCellStyle="Comma">
      <calculatedColumnFormula>VLOOKUP(Table24[[#This Row],[Company]],Table1[],4,FALSE)</calculatedColumnFormula>
    </tableColumn>
    <tableColumn id="3" xr3:uid="{A810CF35-0718-4B43-9EE2-2EAC8974378E}" name="2019 P/E" dataDxfId="508" dataCellStyle="Comma">
      <calculatedColumnFormula>VLOOKUP(Table24[[#This Row],[Company]],Table1[],29,FALSE)</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2939EE0-843F-4C21-A74A-CD048E4574EB}" name="Table28" displayName="Table28" ref="A192:C221" totalsRowShown="0" headerRowDxfId="507" dataDxfId="505" headerRowBorderDxfId="506" tableBorderDxfId="504" totalsRowBorderDxfId="503" dataCellStyle="Comma">
  <autoFilter ref="A192:C221" xr:uid="{2B1B5202-AA9D-4376-BB73-FD596791E4CE}"/>
  <sortState xmlns:xlrd2="http://schemas.microsoft.com/office/spreadsheetml/2017/richdata2" ref="A193:C221">
    <sortCondition ref="C192:C221"/>
  </sortState>
  <tableColumns count="3">
    <tableColumn id="1" xr3:uid="{D1654E9C-7EE2-4D04-ABB1-41638B169D33}" name="Company" dataDxfId="502" dataCellStyle="Comma"/>
    <tableColumn id="2" xr3:uid="{9F3C33DA-9D43-437D-9664-D3D7DF3073BE}" name="Category" dataDxfId="501" dataCellStyle="Comma">
      <calculatedColumnFormula>VLOOKUP($A193,Table1[],2,FALSE)</calculatedColumnFormula>
    </tableColumn>
    <tableColumn id="3" xr3:uid="{16012322-1748-420D-839B-BFFC540EACCD}" name="Risk Rating" dataDxfId="500" dataCellStyle="Comma">
      <calculatedColumnFormula>VLOOKUP(Table28[[#This Row],[Company]],Table2[],38,FALSE)</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23A878-96B3-439B-9974-1816BDC8282C}" name="Table29" displayName="Table29" ref="E192:G221" totalsRowShown="0" headerRowDxfId="499" dataDxfId="497" headerRowBorderDxfId="498" tableBorderDxfId="496" totalsRowBorderDxfId="495" dataCellStyle="Comma">
  <autoFilter ref="E192:G221" xr:uid="{A84CB88F-5738-4003-AE8B-53DBB402A20A}"/>
  <sortState xmlns:xlrd2="http://schemas.microsoft.com/office/spreadsheetml/2017/richdata2" ref="E193:G221">
    <sortCondition ref="G192:G221"/>
  </sortState>
  <tableColumns count="3">
    <tableColumn id="1" xr3:uid="{853C496F-7648-4784-9D5D-8DE50DB00208}" name="Company" dataDxfId="494" dataCellStyle="Comma"/>
    <tableColumn id="2" xr3:uid="{89CEC2F6-3A6A-4A0A-B948-6527C70D1108}" name="Category" dataDxfId="493" dataCellStyle="Comma">
      <calculatedColumnFormula>VLOOKUP(Table29[[#This Row],[Company]],Table1[],2,FALSE)</calculatedColumnFormula>
    </tableColumn>
    <tableColumn id="3" xr3:uid="{ADD6AB7F-766A-440C-A2D9-1DD3A31AAFED}" name="Reserve (Moz)" dataDxfId="492" dataCellStyle="Comma">
      <calculatedColumnFormula>VLOOKUP(Table29[[#This Row],[Company]],Table1[],24,FALSE)</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6EC94EC-95B2-428B-9B8B-DFE919D6621A}" name="Table9" displayName="Table9" ref="B4:AH10" totalsRowCount="1">
  <autoFilter ref="B4:AH9" xr:uid="{64346209-DE11-414D-911D-5BFB0233E3DF}"/>
  <sortState xmlns:xlrd2="http://schemas.microsoft.com/office/spreadsheetml/2017/richdata2" ref="B5:V9">
    <sortCondition descending="1" ref="R4:R9"/>
  </sortState>
  <tableColumns count="33">
    <tableColumn id="1" xr3:uid="{FE6326A1-8ED0-4AD5-BDD5-E81A8216AC62}" name="Name " totalsRowLabel="Large Cap Seniors " dataDxfId="276" totalsRowDxfId="275"/>
    <tableColumn id="2" xr3:uid="{F3BE7B27-4D7B-40FC-9642-06E50757AC21}" name="Price" dataDxfId="274" totalsRowDxfId="273"/>
    <tableColumn id="3" xr3:uid="{9BFBBC39-EC99-454D-B641-2AB12AE0E754}" name="Market Cap (MM)" dataDxfId="272" totalsRowDxfId="271"/>
    <tableColumn id="26" xr3:uid="{23BBBC1A-6830-4E28-BD0B-08A7573D5F01}" name="S/O" dataDxfId="270" totalsRowDxfId="269">
      <calculatedColumnFormula>(Table9[[#This Row],[Market Cap (MM)]]*1000)/Table9[[#This Row],[Price]]</calculatedColumnFormula>
    </tableColumn>
    <tableColumn id="4" xr3:uid="{39631D3D-FBB0-469F-874F-C617E1AD146A}" name="Prod 2018E" dataDxfId="268"/>
    <tableColumn id="5" xr3:uid="{872229E9-CC40-4113-BBB8-ED8FDC179E8D}" name="Prod 2019E" dataDxfId="267" totalsRowDxfId="266"/>
    <tableColumn id="6" xr3:uid="{684342AB-CA21-4BDF-BD52-12739FDD46FB}" name="2020E Guidance.Avg" dataDxfId="265" totalsRowDxfId="264"/>
    <tableColumn id="7" xr3:uid="{DB3BC605-F572-4795-84AF-65FB18CAB838}" name="2020E Guidance Revised " totalsRowFunction="count" dataDxfId="263" totalsRowDxfId="262"/>
    <tableColumn id="8" xr3:uid="{5AA2DC64-ED41-4E7A-AA50-C6C7EC2B66E6}" name="Prod Trend" dataDxfId="261" totalsRowDxfId="260"/>
    <tableColumn id="9" xr3:uid="{37CC0592-5AA7-4A1E-B30A-67C9ECCA3795}" name="AISC 2018E" dataDxfId="259" totalsRowDxfId="258"/>
    <tableColumn id="10" xr3:uid="{B8A7B237-9C03-44B3-9B15-C8975AA712BC}" name="AISC 2019E" dataDxfId="257" totalsRowDxfId="256"/>
    <tableColumn id="11" xr3:uid="{16C7B799-12EE-4211-B678-6FF4E4A98409}" name="AISC 2020E Guidance" dataDxfId="255" totalsRowDxfId="254">
      <calculatedColumnFormula>AVERAGE(1025,975)</calculatedColumnFormula>
    </tableColumn>
    <tableColumn id="12" xr3:uid="{395128AD-5F1F-4BEB-A384-2FBF364AA1CC}" name="AISC Trend" dataDxfId="253" totalsRowDxfId="252"/>
    <tableColumn id="13" xr3:uid="{3A2EC2E1-2A5E-46C7-A54A-35AEE1BDDB69}" name="2020 Margin" dataDxfId="251" totalsRowDxfId="250">
      <calculatedColumnFormula array="1">Table1315[Price]-Table9[[#This Row],[AISC 2020E Guidance]]</calculatedColumnFormula>
    </tableColumn>
    <tableColumn id="24" xr3:uid="{C1100497-FD4D-4AD6-BC87-195C0057EF03}" name="Margin %" dataDxfId="249" totalsRowDxfId="248" dataCellStyle="Percent">
      <calculatedColumnFormula array="1">(Table9[[#This Row],[2020 Margin]]/Table1315[Price])</calculatedColumnFormula>
    </tableColumn>
    <tableColumn id="14" xr3:uid="{7423D330-0481-4776-BA96-39200B3A182E}" name="2020 Ops CF" dataDxfId="247" totalsRowDxfId="246">
      <calculatedColumnFormula>Table9[[#This Row],[2020 Margin]]*Table9[[#This Row],[2020E Guidance Revised ]]</calculatedColumnFormula>
    </tableColumn>
    <tableColumn id="16" xr3:uid="{D978B530-6FD1-4B78-90AC-6919331C385E}" name="CFPS" dataDxfId="245">
      <calculatedColumnFormula>Table9[[#This Row],[2020 Ops CF]]/(Table9[[#This Row],[Market Cap (MM)]]*1000)</calculatedColumnFormula>
    </tableColumn>
    <tableColumn id="17" xr3:uid="{FE0E2CBC-DF89-4BF4-8065-A2E8676C3F9A}" name="Reserves (koz) Gold" dataDxfId="244" totalsRowDxfId="243"/>
    <tableColumn id="21" xr3:uid="{E4B9284A-E272-4879-93E1-4EB78714D7A6}" name="Copper &amp; GEO" dataDxfId="242"/>
    <tableColumn id="22" xr3:uid="{F5913057-F3C1-4BA1-94AE-6F1C90C2A7A7}" name="2020 Ops CF-Copper" dataDxfId="241">
      <calculatedColumnFormula>((H1*0.95)-AVERAGE(2.2,2.5))*Table9[[#This Row],[Copper &amp; GEO]]</calculatedColumnFormula>
    </tableColumn>
    <tableColumn id="23" xr3:uid="{2111A500-63C6-4674-865E-FA7B84B54E11}" name="Total" dataDxfId="240">
      <calculatedColumnFormula>Table9[[#This Row],[2020 Ops CF]]+Table9[[#This Row],[2020 Ops CF-Copper]]</calculatedColumnFormula>
    </tableColumn>
    <tableColumn id="25" xr3:uid="{544AA7CC-A790-483C-B97C-293A49E2FD9B}" name="2020 P/CFPS" dataDxfId="239">
      <calculatedColumnFormula>Table9[[#This Row],[Price]]/Table9[[#This Row],[CFPS]]</calculatedColumnFormula>
    </tableColumn>
    <tableColumn id="18" xr3:uid="{EADAEF76-12B4-4422-878C-75ED39E8E291}" name="2019 P/E" totalsRowFunction="average" dataDxfId="238" totalsRowDxfId="237"/>
    <tableColumn id="30" xr3:uid="{4E2D5876-FFD6-42EC-86F4-DC3248B025FA}" name="2019 EPS" dataDxfId="236"/>
    <tableColumn id="19" xr3:uid="{870D8716-617D-410A-8F6D-F44821598D91}" name="2020 P/E" totalsRowFunction="average" dataDxfId="235" totalsRowDxfId="234">
      <calculatedColumnFormula>Table9[[#This Row],[Price]]/Table9[[#This Row],[2019 EPS]]</calculatedColumnFormula>
    </tableColumn>
    <tableColumn id="20" xr3:uid="{22B8A7E3-B810-4B00-98D9-99A8BA6355AB}" name="REV 3Yr Growth" totalsRowFunction="average" dataDxfId="233" totalsRowDxfId="232"/>
    <tableColumn id="27" xr3:uid="{8552389B-D2FB-41BD-84BC-D6E9092232D7}" name="ROA% TTM " totalsRowFunction="average" dataDxfId="231" totalsRowDxfId="230"/>
    <tableColumn id="28" xr3:uid="{F39119F6-5828-49CB-A13D-5C90321A84B9}" name="ROE % TTM " totalsRowFunction="average" dataDxfId="229" totalsRowDxfId="228"/>
    <tableColumn id="29" xr3:uid="{40EA42BA-D355-4E2E-AD1E-D37BDE58CDAF}" name="Net Margin% TTM" totalsRowFunction="average" dataDxfId="227" totalsRowDxfId="226"/>
    <tableColumn id="31" xr3:uid="{8B4B88B3-BB20-4C01-99D7-FDED2112E472}" name="Current Ratio" totalsRowFunction="average" dataDxfId="225" totalsRowDxfId="224">
      <calculatedColumnFormula>6272/2385</calculatedColumnFormula>
    </tableColumn>
    <tableColumn id="32" xr3:uid="{9CE69B71-39EE-44DF-A95F-05CB06622032}" name="Cash Ratio" totalsRowFunction="average" dataDxfId="223" totalsRowDxfId="222">
      <calculatedColumnFormula>2480/2385</calculatedColumnFormula>
    </tableColumn>
    <tableColumn id="33" xr3:uid="{C9E18973-C9B3-4F29-9247-E120C9399EDB}" name="Debt-Equity" totalsRowFunction="average" dataDxfId="221" totalsRowDxfId="220">
      <calculatedColumnFormula>18554/21420</calculatedColumnFormula>
    </tableColumn>
    <tableColumn id="34" xr3:uid="{B6BE7F70-DC6F-4447-9F82-B1210CBE2595}" name="Debt-Assest" totalsRowFunction="average" dataDxfId="219" totalsRowDxfId="218">
      <calculatedColumnFormula>18554/39974</calculatedColumnFormula>
    </tableColumn>
  </tableColumns>
  <tableStyleInfo name="TableStyleMedium1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1D18EE4-B5C4-4BBA-B131-43DE6A254D75}" name="Table10" displayName="Table10" ref="B11:AH19" totalsRowCount="1">
  <autoFilter ref="B11:AH18" xr:uid="{F4B38F96-5468-4747-A742-59C4D785514F}"/>
  <sortState xmlns:xlrd2="http://schemas.microsoft.com/office/spreadsheetml/2017/richdata2" ref="B12:W18">
    <sortCondition ref="W11:W18"/>
  </sortState>
  <tableColumns count="33">
    <tableColumn id="1" xr3:uid="{FB122A16-705E-4883-B856-C39BF2E805D0}" name="Name" totalsRowLabel="Medium Cap Seniors" dataDxfId="217" totalsRowDxfId="216"/>
    <tableColumn id="2" xr3:uid="{5BCDB8D8-2678-490A-AA66-DAD788F4A950}" name="Price" dataDxfId="215" totalsRowDxfId="214"/>
    <tableColumn id="3" xr3:uid="{B39E1AF5-F984-49BE-ABF4-536A9ED202A7}" name="Market Cap (MM)" dataDxfId="213" totalsRowDxfId="212"/>
    <tableColumn id="22" xr3:uid="{D63A539A-EFE7-4686-B834-B08ACA0C4C10}" name="S/O" dataDxfId="211" totalsRowDxfId="210" dataCellStyle="Comma">
      <calculatedColumnFormula>(Table10[[#This Row],[Market Cap (MM)]]*1000000)/Table10[[#This Row],[Price]]</calculatedColumnFormula>
    </tableColumn>
    <tableColumn id="4" xr3:uid="{A7F320C4-9BBA-437F-8157-5659538EAB5C}" name="Prod 2018E" dataDxfId="209" totalsRowDxfId="208"/>
    <tableColumn id="5" xr3:uid="{5F106EF6-C089-4ABA-A662-2CF57FAA002A}" name="Prod 2019E" dataDxfId="207" totalsRowDxfId="206"/>
    <tableColumn id="6" xr3:uid="{F3C02BB9-7F0D-409B-9486-D01B389E8314}" name="2020E Guidance.Avg" dataDxfId="205" totalsRowDxfId="204">
      <calculatedColumnFormula>AVERAGE(425,465)*1000</calculatedColumnFormula>
    </tableColumn>
    <tableColumn id="7" xr3:uid="{1E617602-8844-4E92-A381-43C316212D3E}" name="2020E Guidance Revised " dataDxfId="203" totalsRowDxfId="202">
      <calculatedColumnFormula>Table10[[#This Row],[2020E Guidance.Avg]]</calculatedColumnFormula>
    </tableColumn>
    <tableColumn id="8" xr3:uid="{958131A0-CF9E-4438-8A89-87DE584BE50E}" name="Trend" dataDxfId="201" totalsRowDxfId="200"/>
    <tableColumn id="9" xr3:uid="{F2A8E9E5-4F10-460C-AE42-D1B2FA27862B}" name="AISC 2018E" dataDxfId="199" totalsRowDxfId="198"/>
    <tableColumn id="10" xr3:uid="{B4FBEC43-1CAC-4C62-9F86-F1276E84DE0F}" name="AISC 2019E" dataDxfId="197" totalsRowDxfId="196"/>
    <tableColumn id="11" xr3:uid="{D746A976-85A3-4B72-87D1-DB3B557DC2E9}" name="AISC 2020E Guidance" dataDxfId="195" totalsRowDxfId="194">
      <calculatedColumnFormula>AVERAGE(1020,1060)</calculatedColumnFormula>
    </tableColumn>
    <tableColumn id="12" xr3:uid="{545300CB-2842-4CDB-91CB-5F6DED0647C9}" name="AISC Trend" dataDxfId="193" totalsRowDxfId="192"/>
    <tableColumn id="13" xr3:uid="{33AFAFE8-42FD-47C0-B8CD-381AEEB6446E}" name="2020 Margin" dataDxfId="191" totalsRowDxfId="190">
      <calculatedColumnFormula array="1">(Table1315[Price]*0.9)-Table10[[#This Row],[AISC 2020E Guidance]]</calculatedColumnFormula>
    </tableColumn>
    <tableColumn id="21" xr3:uid="{F99CD1E3-D33B-40CA-AFEC-E60B99589AEC}" name="Margin %" dataDxfId="189" totalsRowDxfId="188">
      <calculatedColumnFormula array="1">Table10[[#This Row],[2020 Margin]]/Table1315[Price]</calculatedColumnFormula>
    </tableColumn>
    <tableColumn id="14" xr3:uid="{0952126D-A2E9-425C-9C3C-199E7132AF92}" name="2020 Ops CF" dataDxfId="187" totalsRowDxfId="186">
      <calculatedColumnFormula>Table10[[#This Row],[2020 Margin]]*Table10[[#This Row],[2020E Guidance Revised ]]</calculatedColumnFormula>
    </tableColumn>
    <tableColumn id="16" xr3:uid="{B33825E9-F68A-47CC-AA9E-17DFA2817BBF}" name="CFPS" dataDxfId="185" totalsRowDxfId="184">
      <calculatedColumnFormula>Table10[[#This Row],[2020 Ops CF]]/Table10[[#This Row],[S/O]]</calculatedColumnFormula>
    </tableColumn>
    <tableColumn id="17" xr3:uid="{6B87CFEC-DBEC-4EBC-BF8C-B9DEF27E2F44}" name="Reserves (koz) Gold" dataDxfId="183" totalsRowDxfId="182"/>
    <tableColumn id="18" xr3:uid="{A9467794-4BD0-4FF0-AB15-FE8FD152AA24}" name="Copper &amp; GEO" dataDxfId="181" totalsRowDxfId="180">
      <calculatedColumnFormula>85*1000000</calculatedColumnFormula>
    </tableColumn>
    <tableColumn id="19" xr3:uid="{3B1C002B-DC9E-4A92-8FD8-CE57F3FCC454}" name="2020 Ops CF-Copper" dataDxfId="179" totalsRowDxfId="178">
      <calculatedColumnFormula>(2.3-($H$2*0.95))*Table10[[#This Row],[Copper &amp; GEO]]</calculatedColumnFormula>
    </tableColumn>
    <tableColumn id="20" xr3:uid="{2B938A09-4696-4745-AF70-0F27FFEA9A09}" name="Total" dataDxfId="177" totalsRowDxfId="176">
      <calculatedColumnFormula>Table10[[#This Row],[2020 Ops CF-Copper]]+Table10[[#This Row],[2020 Ops CF]]</calculatedColumnFormula>
    </tableColumn>
    <tableColumn id="23" xr3:uid="{8ECC6251-B06B-4CD9-A2D1-558B41C97458}" name="2020 P/CFPS" dataDxfId="175" totalsRowDxfId="174">
      <calculatedColumnFormula>Table10[[#This Row],[Price]]/Table10[[#This Row],[CFPS]]</calculatedColumnFormula>
    </tableColumn>
    <tableColumn id="15" xr3:uid="{B9E06ED1-AEDD-4663-95B3-EE514BA487EE}" name="2019 P/E" totalsRowFunction="average" dataDxfId="173" totalsRowDxfId="172"/>
    <tableColumn id="24" xr3:uid="{40698254-4665-4DC0-8A99-B0994EBF7736}" name="2019 EPS" dataDxfId="171" totalsRowDxfId="170"/>
    <tableColumn id="25" xr3:uid="{D7054CF9-0619-408A-920F-16CAB675AC94}" name="2020 P/E" totalsRowFunction="average" dataDxfId="169" totalsRowDxfId="168"/>
    <tableColumn id="26" xr3:uid="{61F76517-3D22-4682-8DDE-70BA34DD2DF3}" name="REV 3Yr Growth" totalsRowFunction="average" dataDxfId="167" totalsRowDxfId="166" dataCellStyle="Percent">
      <calculatedColumnFormula>0.22</calculatedColumnFormula>
    </tableColumn>
    <tableColumn id="27" xr3:uid="{CCB634C2-9F8F-4B93-84D4-4D722BFF6D9A}" name="ROA% TTM " totalsRowFunction="average" dataDxfId="165" totalsRowDxfId="164" dataCellStyle="Percent">
      <calculatedColumnFormula>-0.0338</calculatedColumnFormula>
    </tableColumn>
    <tableColumn id="28" xr3:uid="{98BBCA2F-640E-4D18-9251-08A14B7CE80C}" name="ROE % TTM " totalsRowFunction="average" dataDxfId="163" totalsRowDxfId="162" dataCellStyle="Percent">
      <calculatedColumnFormula>-0.0444</calculatedColumnFormula>
    </tableColumn>
    <tableColumn id="29" xr3:uid="{BB9B9604-51BF-4F0E-95E0-4F62CDFF1C69}" name="Net Margin% TTM" totalsRowFunction="average" dataDxfId="161" totalsRowDxfId="160" dataCellStyle="Percent">
      <calculatedColumnFormula>-0.068</calculatedColumnFormula>
    </tableColumn>
    <tableColumn id="30" xr3:uid="{0EF6E2F0-16B5-4D4B-91EA-026D41F5B960}" name="Current Ratio" totalsRowFunction="average" dataDxfId="159" totalsRowDxfId="158">
      <calculatedColumnFormula>933/245</calculatedColumnFormula>
    </tableColumn>
    <tableColumn id="31" xr3:uid="{3DE1BDF3-3690-4C08-85FB-E198F2E422FE}" name="Cash Ratio" totalsRowFunction="average" dataDxfId="157" totalsRowDxfId="156">
      <calculatedColumnFormula>43/245</calculatedColumnFormula>
    </tableColumn>
    <tableColumn id="32" xr3:uid="{3F776E88-F3A5-4CC6-89D4-406C5387A62A}" name="Debt-Equity" totalsRowFunction="average" dataDxfId="155" totalsRowDxfId="154">
      <calculatedColumnFormula>636/2066</calculatedColumnFormula>
    </tableColumn>
    <tableColumn id="33" xr3:uid="{E29A5ED1-EDFF-4323-A035-704D025A2941}" name="Debt-Assest" totalsRowFunction="average" dataDxfId="153" totalsRowDxfId="152">
      <calculatedColumnFormula>636/2702</calculatedColumnFormula>
    </tableColumn>
  </tableColumns>
  <tableStyleInfo name="TableStyleMedium1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7B8FF9F-903C-4609-8FB9-B55ADD5EA513}" name="Table11" displayName="Table11" ref="B20:AH28" totalsRowCount="1">
  <autoFilter ref="B20:AH27" xr:uid="{6EE9195A-3228-43A4-A4B3-F5252FF41160}"/>
  <tableColumns count="33">
    <tableColumn id="1" xr3:uid="{D6CA0441-6FC7-46DF-8757-693E236829D0}" name="Name" totalsRowLabel="Small Cap Seniors" dataDxfId="151" totalsRowDxfId="150"/>
    <tableColumn id="2" xr3:uid="{33776DAA-43F8-42BF-92B4-15EC927DA581}" name="Price" dataDxfId="149" totalsRowDxfId="148"/>
    <tableColumn id="3" xr3:uid="{4A68C9E6-EC68-4829-B30A-BFA4FD554FD9}" name="Market Cap (MM)" dataDxfId="147" totalsRowDxfId="146"/>
    <tableColumn id="22" xr3:uid="{5855ECE9-1542-4D70-B120-A3DBFD1736EF}" name="S/O" dataDxfId="145" totalsRowDxfId="144">
      <calculatedColumnFormula>(Table11[[#This Row],[Market Cap (MM)]]*1000)/Table11[[#This Row],[Price]]</calculatedColumnFormula>
    </tableColumn>
    <tableColumn id="4" xr3:uid="{6401C60A-5DF1-4D42-BAD2-E5DEA7A58CD8}" name="Prod 2018E" dataDxfId="143" totalsRowDxfId="142"/>
    <tableColumn id="5" xr3:uid="{312AA764-A37A-4464-8B95-96147D75236E}" name="Prod 2019E" dataDxfId="141" totalsRowDxfId="140"/>
    <tableColumn id="6" xr3:uid="{1FD6405E-A29E-4425-AE20-1D6D3EE2E809}" name="2020E Guidance.Avg" dataDxfId="139" totalsRowDxfId="138">
      <calculatedColumnFormula>AVERAGE(510,540)*1000</calculatedColumnFormula>
    </tableColumn>
    <tableColumn id="7" xr3:uid="{37FE7C47-3C1B-448A-9454-9B4BDC00800A}" name="2020E Guidance Revised " dataDxfId="137" totalsRowDxfId="136">
      <calculatedColumnFormula>Table11[[#This Row],[2020E Guidance.Avg]]</calculatedColumnFormula>
    </tableColumn>
    <tableColumn id="8" xr3:uid="{F9078240-6BDC-4645-9073-3602B43AD336}" name="Trend" dataDxfId="135" totalsRowDxfId="134"/>
    <tableColumn id="9" xr3:uid="{C76F8C21-89E7-4BC3-8891-A1755B307699}" name="AISC 2018E" dataDxfId="133" totalsRowDxfId="132"/>
    <tableColumn id="10" xr3:uid="{52617E21-2F91-4A1D-8450-07D1BBF841D3}" name="AISC 2019E" dataDxfId="131" totalsRowDxfId="130"/>
    <tableColumn id="11" xr3:uid="{6994D0D7-0AAE-478E-9FB2-A55B79C9F8D4}" name="AISC 2020E Guidance" dataDxfId="129" totalsRowDxfId="128">
      <calculatedColumnFormula>AVERAGE(920,870)</calculatedColumnFormula>
    </tableColumn>
    <tableColumn id="12" xr3:uid="{E10D0826-24BC-4DBB-9977-8B4BC0AFD2DE}" name="AISC Trend" dataDxfId="127" totalsRowDxfId="126"/>
    <tableColumn id="13" xr3:uid="{D7A2B4C5-EC00-4592-9DA9-8AA59373A498}" name="2020 Margin" dataDxfId="125" totalsRowDxfId="124">
      <calculatedColumnFormula array="1">(Table1315[Price]*0.9)-Table11[[#This Row],[AISC 2020E Guidance]]</calculatedColumnFormula>
    </tableColumn>
    <tableColumn id="21" xr3:uid="{671A4C47-F11E-4F47-82B5-4FD66A052C0D}" name="Margin %" dataDxfId="123" totalsRowDxfId="122">
      <calculatedColumnFormula array="1">Table11[[#This Row],[2020 Margin]]/Table1315[Price]</calculatedColumnFormula>
    </tableColumn>
    <tableColumn id="14" xr3:uid="{581D3839-8554-450B-BEB3-36445ABB6FD3}" name="2020 Ops CF" dataDxfId="121" totalsRowDxfId="120">
      <calculatedColumnFormula>Table11[[#This Row],[2020 Margin]]*Table11[[#This Row],[2020E Guidance Revised ]]</calculatedColumnFormula>
    </tableColumn>
    <tableColumn id="16" xr3:uid="{F09404DB-EFDF-4035-A868-21096507E125}" name="CFPS" dataDxfId="119" totalsRowDxfId="118">
      <calculatedColumnFormula>Table11[[#This Row],[2020 Ops CF]]/(Table11[[#This Row],[Market Cap (MM)]]*1000)</calculatedColumnFormula>
    </tableColumn>
    <tableColumn id="17" xr3:uid="{7D941BE3-070E-4172-941C-ED59940499F3}" name="Reserves (koz) Gold" dataDxfId="117" totalsRowDxfId="116"/>
    <tableColumn id="18" xr3:uid="{69DDD4B1-055E-4B41-9878-5DE8E0854E7A}" name="Copper &amp; GEO" dataDxfId="115" totalsRowDxfId="114"/>
    <tableColumn id="19" xr3:uid="{97CD5029-F178-4950-9C57-1E4B8FDCDB13}" name="2020 Ops CF-Copper" dataDxfId="113" totalsRowDxfId="112"/>
    <tableColumn id="20" xr3:uid="{857BF249-0808-4CF0-A585-A699099C075C}" name="Total" dataDxfId="111" totalsRowDxfId="110">
      <calculatedColumnFormula>Table11[[#This Row],[2020 Ops CF-Copper]]+Table11[[#This Row],[2020 Ops CF]]</calculatedColumnFormula>
    </tableColumn>
    <tableColumn id="23" xr3:uid="{E79D5B6F-4A7C-416F-A92A-43F0612ED7F7}" name="2020 P/CFPS" dataDxfId="109" totalsRowDxfId="108">
      <calculatedColumnFormula>Table11[[#This Row],[Price]]/Table11[[#This Row],[CFPS]]</calculatedColumnFormula>
    </tableColumn>
    <tableColumn id="15" xr3:uid="{44D37AAA-F783-4D11-8AC4-28ABE94C7431}" name="2019 P/E" totalsRowFunction="average" dataDxfId="107" totalsRowDxfId="106"/>
    <tableColumn id="24" xr3:uid="{149866EC-66FF-4C6A-ABE4-824F5129CC10}" name="2019 EPS" dataDxfId="105" totalsRowDxfId="104"/>
    <tableColumn id="25" xr3:uid="{233C5F87-AC85-42D8-B74B-C312A3C13018}" name="2020 P/E" totalsRowFunction="average" dataDxfId="103" totalsRowDxfId="102" dataCellStyle="Currency">
      <calculatedColumnFormula>Table11[[#This Row],[Price]]/Table11[[#This Row],[2019 EPS]]</calculatedColumnFormula>
    </tableColumn>
    <tableColumn id="26" xr3:uid="{4D73DBCD-0484-4D75-9073-09BB97E1AEF2}" name="REV 3Yr Growth" totalsRowFunction="average" dataDxfId="101" totalsRowDxfId="100" dataCellStyle="Percent"/>
    <tableColumn id="27" xr3:uid="{07DC1D32-EEEE-4F0E-9B93-7CB96010FB47}" name="ROA% TTM " totalsRowFunction="average" dataDxfId="99" totalsRowDxfId="98" dataCellStyle="Percent"/>
    <tableColumn id="28" xr3:uid="{3DC4A77D-C093-4B96-9BAD-39CCD80FFFC6}" name="ROE % TTM " totalsRowFunction="average" dataDxfId="97" totalsRowDxfId="96" dataCellStyle="Percent"/>
    <tableColumn id="29" xr3:uid="{292A31F8-0205-4FF4-8914-C872F796D1D6}" name="Net Margin% TTM" totalsRowFunction="average" dataDxfId="95" totalsRowDxfId="94" dataCellStyle="Percent"/>
    <tableColumn id="30" xr3:uid="{D7150201-2836-457A-9179-84602AB91C7C}" name="Current Ratio" totalsRowFunction="average" dataDxfId="93" totalsRowDxfId="92">
      <calculatedColumnFormula>420/47</calculatedColumnFormula>
    </tableColumn>
    <tableColumn id="31" xr3:uid="{CB72C940-D48A-4487-8F22-235FA1D54FD9}" name="Cash Ratio" totalsRowFunction="average" dataDxfId="91" totalsRowDxfId="90">
      <calculatedColumnFormula>283/47</calculatedColumnFormula>
    </tableColumn>
    <tableColumn id="32" xr3:uid="{9D2794F9-81D1-481D-A5D0-CD58008A7A1F}" name="Debt-Equity" totalsRowFunction="average" dataDxfId="89" totalsRowDxfId="88">
      <calculatedColumnFormula>61/1287</calculatedColumnFormula>
    </tableColumn>
    <tableColumn id="33" xr3:uid="{1BCD4042-8039-48A7-BBB0-65490E3BD6ED}" name="Debt-Assest" totalsRowFunction="sum" dataDxfId="87" totalsRowDxfId="86">
      <calculatedColumnFormula>61/1348</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E5A4222-7FC9-460E-A308-61254BB8FF73}" name="Table12" displayName="Table12" ref="B30:AH41" totalsRowCount="1">
  <autoFilter ref="B30:AH40" xr:uid="{9FBD83C3-C1C0-4B7D-9992-8CE2B51BA4D9}"/>
  <tableColumns count="33">
    <tableColumn id="1" xr3:uid="{31A7FDB0-99D1-4246-B3FA-E496267EAE8D}" name="Name" totalsRowLabel="Total" dataDxfId="85" totalsRowDxfId="84"/>
    <tableColumn id="2" xr3:uid="{8F198742-3ED5-4FEA-BC54-7E357089E597}" name="Price" dataDxfId="83" totalsRowDxfId="82"/>
    <tableColumn id="3" xr3:uid="{FA774BCF-EE08-462C-BCCC-F0C50D1EC2CB}" name="Market Cap (MM)" dataDxfId="81" totalsRowDxfId="80"/>
    <tableColumn id="21" xr3:uid="{9114BC63-62EC-4C8D-BEE6-292CF8FA781C}" name="S/O" dataDxfId="79" totalsRowDxfId="78">
      <calculatedColumnFormula>(Table12[[#This Row],[Market Cap (MM)]]*1000)/Table12[[#This Row],[Price]]</calculatedColumnFormula>
    </tableColumn>
    <tableColumn id="4" xr3:uid="{FB364B37-F967-47AA-BD65-495BD4CBA2C6}" name="Prod 2018E" dataDxfId="77" totalsRowDxfId="76"/>
    <tableColumn id="5" xr3:uid="{F918667B-4D15-419F-A099-68D270EB8A4F}" name="Prod 2019E" dataDxfId="75" totalsRowDxfId="74"/>
    <tableColumn id="6" xr3:uid="{2DA26FA5-EC01-46E8-807B-1F725DBF876D}" name="2020E Guidance.Avg" dataDxfId="73" totalsRowDxfId="72">
      <calculatedColumnFormula>AVERAGE(252,296)*1000</calculatedColumnFormula>
    </tableColumn>
    <tableColumn id="7" xr3:uid="{E6C07A99-F443-4B79-BE0A-BE5A1F384B36}" name="2020E Guidance Revised " dataDxfId="71" totalsRowDxfId="70">
      <calculatedColumnFormula>Table12[[#This Row],[2020E Guidance.Avg]]</calculatedColumnFormula>
    </tableColumn>
    <tableColumn id="8" xr3:uid="{5161837A-86AD-4594-8B99-713C425CFD80}" name="Trend" dataDxfId="69" totalsRowDxfId="68"/>
    <tableColumn id="9" xr3:uid="{E92DA11D-F3EB-4AB8-B755-AD89A2FDD249}" name="AISC 2018E" dataDxfId="67" totalsRowDxfId="66"/>
    <tableColumn id="10" xr3:uid="{186B1D91-0BE8-4B22-B3FC-3185500DC06D}" name="AISC 2019E" dataDxfId="65" totalsRowDxfId="64"/>
    <tableColumn id="11" xr3:uid="{B16D52AD-1354-4315-B092-4EEF0B66D818}" name="AISC 2020E Guidance" dataDxfId="63" totalsRowDxfId="62">
      <calculatedColumnFormula>AVERAGE(680,760)</calculatedColumnFormula>
    </tableColumn>
    <tableColumn id="12" xr3:uid="{B9AE3BEA-6FE2-467D-ABFB-B07AEDB4C019}" name="AISC Trend" dataDxfId="61" totalsRowDxfId="60"/>
    <tableColumn id="13" xr3:uid="{63F1CF60-AD07-4DDE-AD49-540664ED3058}" name="2020 Margin" dataDxfId="59" totalsRowDxfId="58">
      <calculatedColumnFormula array="1">(Table1315[Price]*0.9)-Table12[[#This Row],[AISC 2020E Guidance]]</calculatedColumnFormula>
    </tableColumn>
    <tableColumn id="14" xr3:uid="{48118034-FB7B-4241-87C1-C5E21D14F556}" name="Margin %" dataDxfId="57" totalsRowDxfId="56">
      <calculatedColumnFormula array="1">Table12[[#This Row],[2020 Margin]]/(Table1315[Price]*0.9)</calculatedColumnFormula>
    </tableColumn>
    <tableColumn id="16" xr3:uid="{68E9D344-95B8-4E64-B345-3C6323D39A20}" name="2020 Ops CF" dataDxfId="55" totalsRowDxfId="54">
      <calculatedColumnFormula>Table12[[#This Row],[2020 Margin]]*Table12[[#This Row],[2020E Guidance Revised ]]</calculatedColumnFormula>
    </tableColumn>
    <tableColumn id="24" xr3:uid="{7188B9C1-0833-491D-9B3B-EB2D2AD50596}" name="CFPS" dataDxfId="53" totalsRowDxfId="52">
      <calculatedColumnFormula>Table12[[#This Row],[2020 Ops CF]]/Table12[[#This Row],[S/O]]</calculatedColumnFormula>
    </tableColumn>
    <tableColumn id="17" xr3:uid="{66A227EA-C202-4D49-800D-E3CF7E6108D8}" name="Reserves (Moz) Gold" dataDxfId="51" totalsRowDxfId="50"/>
    <tableColumn id="25" xr3:uid="{14A57A8C-2ECA-4B12-8753-1D849901E7C0}" name="Copper &amp; GEO" dataDxfId="49" totalsRowDxfId="48"/>
    <tableColumn id="18" xr3:uid="{21DAB64A-CCDE-4D9A-9456-012E371E1BA6}" name="2020 Ops CF-Copper" dataDxfId="47" totalsRowDxfId="46"/>
    <tableColumn id="19" xr3:uid="{BD32932D-7DA6-4A25-909B-62868276FBAD}" name="Total" dataDxfId="45" totalsRowDxfId="44">
      <calculatedColumnFormula>Table12[[#This Row],[2020 Ops CF-Copper]]+Table12[[#This Row],[2020 Ops CF]]</calculatedColumnFormula>
    </tableColumn>
    <tableColumn id="20" xr3:uid="{AF7F79B5-708C-4BDA-8DCD-8135D871C8E8}" name="2020 P/CFPS" dataDxfId="43" totalsRowDxfId="42">
      <calculatedColumnFormula>Table12[[#This Row],[Price]]/Table12[[#This Row],[CFPS]]</calculatedColumnFormula>
    </tableColumn>
    <tableColumn id="15" xr3:uid="{37C83E11-DCE9-4C07-9611-4F05721379C0}" name="2019 P/E" totalsRowFunction="average" dataDxfId="41" totalsRowDxfId="40"/>
    <tableColumn id="22" xr3:uid="{956B65F7-668B-43F3-9B0E-977F6BF1BB7E}" name="2019 EPS" dataDxfId="39" totalsRowDxfId="38"/>
    <tableColumn id="23" xr3:uid="{01A6A7E7-5DB6-4C3B-BDB4-0554B6A80443}" name="2020 P/E" totalsRowFunction="average" dataDxfId="37" totalsRowDxfId="36">
      <calculatedColumnFormula>Table12[[#This Row],[Price]]/Table12[[#This Row],[2019 EPS]]</calculatedColumnFormula>
    </tableColumn>
    <tableColumn id="26" xr3:uid="{A81FA4B2-F6C9-4038-9F73-8D2269953505}" name="REV 3Yr Growth" totalsRowFunction="average" dataDxfId="35" totalsRowDxfId="34" dataCellStyle="Percent">
      <calculatedColumnFormula>(377.11-279.49)/279.49</calculatedColumnFormula>
    </tableColumn>
    <tableColumn id="27" xr3:uid="{0C849DC4-3B4A-4F24-9884-319DA86F23D1}" name="ROA% TTM " totalsRowFunction="average" dataDxfId="33" totalsRowDxfId="32" dataCellStyle="Percent"/>
    <tableColumn id="28" xr3:uid="{5BDCBF61-F771-4F67-99B8-BAB3645FE17E}" name="ROE % TTM " totalsRowFunction="average" dataDxfId="31" totalsRowDxfId="30" dataCellStyle="Percent"/>
    <tableColumn id="29" xr3:uid="{7C06985C-84D3-474E-88DB-2718EF4610B5}" name="Net Margin% TTM" totalsRowFunction="average" dataDxfId="29" totalsRowDxfId="28" dataCellStyle="Percent"/>
    <tableColumn id="30" xr3:uid="{A83A1D14-5DEA-423F-9574-D01BF3D644BA}" name="Current Ratio" totalsRowFunction="average" dataDxfId="27" totalsRowDxfId="26">
      <calculatedColumnFormula>84/93</calculatedColumnFormula>
    </tableColumn>
    <tableColumn id="31" xr3:uid="{66154869-8A79-4A7E-BECF-F5D2F842ADC3}" name="Cash Ratio" totalsRowFunction="average" dataDxfId="25" totalsRowDxfId="24">
      <calculatedColumnFormula>17/93</calculatedColumnFormula>
    </tableColumn>
    <tableColumn id="32" xr3:uid="{3E6CDC79-53F3-4F9A-B469-9C673B1B85A4}" name="Debt-Equity" totalsRowFunction="average" dataDxfId="23" totalsRowDxfId="22">
      <calculatedColumnFormula>228/632</calculatedColumnFormula>
    </tableColumn>
    <tableColumn id="33" xr3:uid="{7C564AA2-C30D-435B-952E-3A8C5D2E99B6}" name="Debt-Assest" totalsRowFunction="average" dataDxfId="21" totalsRowDxfId="20"/>
  </tableColumns>
  <tableStyleInfo name="TableStyleMedium1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153DD3-B05C-48EE-A605-D270CA87C04A}" name="Table1315" displayName="Table1315" ref="B1:E2" totalsRowShown="0" headerRowDxfId="19">
  <autoFilter ref="B1:E2" xr:uid="{2A6C6897-086F-4A02-8808-38CA75DEA13B}"/>
  <tableColumns count="4">
    <tableColumn id="1" xr3:uid="{CEE690DF-3F7D-4311-B93D-21CD82E97A90}" name="Commodity" dataDxfId="18"/>
    <tableColumn id="2" xr3:uid="{22EBF076-8759-41B3-9775-E4337BC72E1F}" name="Price" dataDxfId="17">
      <calculatedColumnFormula>_FV(B2,"Price")</calculatedColumnFormula>
    </tableColumn>
    <tableColumn id="3" xr3:uid="{A4E4F4B2-25B4-497A-B8FB-3834C9CE38BB}" name="Change" dataDxfId="16">
      <calculatedColumnFormula array="1">_FV(Table1315[[#This Row],[Commodity]],"Change")</calculatedColumnFormula>
    </tableColumn>
    <tableColumn id="4" xr3:uid="{3C3F9A0E-76E9-46A5-8D38-0BAF993E699D}" name="Change (%)" dataDxfId="15">
      <calculatedColumnFormula array="1">_FV(Table1315[[#This Row],[Commodity]],"Change (%)",TRUE)</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7B3F54-0529-4A49-995F-6B71267276F5}" name="Table1" displayName="Table1" ref="A1:AM30" totalsRowShown="0" headerRowDxfId="491" dataDxfId="490" dataCellStyle="Comma">
  <autoFilter ref="A1:AM30" xr:uid="{3AFBF351-23B2-47C1-BFBA-EAF7198210FF}"/>
  <tableColumns count="39">
    <tableColumn id="1" xr3:uid="{AEABB110-F07B-4ADC-AE9D-37D1CE9A0E21}" name="Company">
      <calculatedColumnFormula>'Production &amp; FA'!B12</calculatedColumnFormula>
    </tableColumn>
    <tableColumn id="2" xr3:uid="{8EA29A94-27D5-4CD4-A199-D26A80462D92}" name="Category"/>
    <tableColumn id="3" xr3:uid="{DB2AA1C2-9007-4CD5-84FE-9BDD60707BE0}" name="Price">
      <calculatedColumnFormula>'Production &amp; FA'!C12</calculatedColumnFormula>
    </tableColumn>
    <tableColumn id="4" xr3:uid="{2A6C890A-4368-4547-958D-79B4E49F3045}" name="Market Cap (MM)" dataDxfId="489" dataCellStyle="Comma">
      <calculatedColumnFormula>'Production &amp; FA'!D12</calculatedColumnFormula>
    </tableColumn>
    <tableColumn id="5" xr3:uid="{6ADEE885-F951-41D6-A291-3350CAA62C03}" name="S/O" dataDxfId="488" dataCellStyle="Comma">
      <calculatedColumnFormula>'Production &amp; FA'!E12</calculatedColumnFormula>
    </tableColumn>
    <tableColumn id="6" xr3:uid="{CA2665EF-B028-4960-8DDB-79D655F6E694}" name="Change" dataDxfId="487">
      <calculatedColumnFormula>_FV(A2,"Change")</calculatedColumnFormula>
    </tableColumn>
    <tableColumn id="7" xr3:uid="{99CE2F30-4FE6-4E07-8A37-D4FD41433939}" name="Change (%)" dataDxfId="486" dataCellStyle="Percent">
      <calculatedColumnFormula>_FV(A2,"Change (%)",TRUE)</calculatedColumnFormula>
    </tableColumn>
    <tableColumn id="8" xr3:uid="{F6940D9F-5503-43A7-B1BE-7182F2A3B5BE}" name="Volume" dataDxfId="485">
      <calculatedColumnFormula>_FV(A2,"Volume")</calculatedColumnFormula>
    </tableColumn>
    <tableColumn id="9" xr3:uid="{44377A82-D4F5-4AFD-ADD9-48B980964CFE}" name="52 week high" dataDxfId="484">
      <calculatedColumnFormula>_FV(A2,"52 week high",TRUE)</calculatedColumnFormula>
    </tableColumn>
    <tableColumn id="10" xr3:uid="{926895B9-B809-42F5-BA1E-A01DF0A57392}" name="52 week low" dataDxfId="483">
      <calculatedColumnFormula>_FV(A2,"52 week low",TRUE)</calculatedColumnFormula>
    </tableColumn>
    <tableColumn id="11" xr3:uid="{8077E084-A752-4C85-81E2-6C7300ABC82A}" name="Prod 2018E" dataDxfId="482" dataCellStyle="Normal 2">
      <calculatedColumnFormula>'Production &amp; FA'!F12</calculatedColumnFormula>
    </tableColumn>
    <tableColumn id="12" xr3:uid="{91B3CDB8-1EA5-49EC-9981-F9B04A856B8F}" name="Prod 2019E" dataDxfId="481" dataCellStyle="Normal 2">
      <calculatedColumnFormula>'Production &amp; FA'!G12</calculatedColumnFormula>
    </tableColumn>
    <tableColumn id="13" xr3:uid="{8F27B814-BDD9-4A88-9825-C2345105C26F}" name="2020E Guidance.Avg" dataDxfId="480" dataCellStyle="Comma">
      <calculatedColumnFormula>'Production &amp; FA'!H12</calculatedColumnFormula>
    </tableColumn>
    <tableColumn id="14" xr3:uid="{4814D73C-4922-4484-A492-EC2FB580949E}" name="2020E Guidance Revised " dataDxfId="479" dataCellStyle="Comma">
      <calculatedColumnFormula>'Production &amp; FA'!I12</calculatedColumnFormula>
    </tableColumn>
    <tableColumn id="15" xr3:uid="{48FE5E96-2790-4D13-9350-55D035D2CD2F}" name="Prod Trend" dataDxfId="478" dataCellStyle="Comma">
      <calculatedColumnFormula>'Production &amp; FA'!J12</calculatedColumnFormula>
    </tableColumn>
    <tableColumn id="16" xr3:uid="{0DAC5720-5B2F-44F0-A3A3-32014760C15C}" name="AISC 2018E" dataDxfId="477" dataCellStyle="Normal 2">
      <calculatedColumnFormula>'Production &amp; FA'!K12</calculatedColumnFormula>
    </tableColumn>
    <tableColumn id="17" xr3:uid="{637D2F5D-9C05-4EF8-8EE6-CEFAF8FDED94}" name="AISC 2019E" dataDxfId="476" dataCellStyle="Normal 2">
      <calculatedColumnFormula>'Production &amp; FA'!L12</calculatedColumnFormula>
    </tableColumn>
    <tableColumn id="18" xr3:uid="{8BA18F42-6914-4844-9F90-DC4C238A73FF}" name="AISC 2020E Guidance" dataDxfId="475" dataCellStyle="Normal 2">
      <calculatedColumnFormula>'Production &amp; FA'!M12</calculatedColumnFormula>
    </tableColumn>
    <tableColumn id="19" xr3:uid="{C55EDBA5-A7AE-4A35-BC8D-5B9963D92A16}" name="AISC Trend" dataDxfId="474" dataCellStyle="Comma">
      <calculatedColumnFormula>'Production &amp; FA'!N12</calculatedColumnFormula>
    </tableColumn>
    <tableColumn id="20" xr3:uid="{9F4479E3-9BAC-4E06-AF89-C9D657C4A485}" name="2020 Margin" dataDxfId="473" dataCellStyle="Comma">
      <calculatedColumnFormula>'Production &amp; FA'!O12</calculatedColumnFormula>
    </tableColumn>
    <tableColumn id="21" xr3:uid="{8D99BCE4-1708-4865-979F-22CE32BFFEA4}" name="Margin %" dataDxfId="472" dataCellStyle="Percent">
      <calculatedColumnFormula>'Production &amp; FA'!P12</calculatedColumnFormula>
    </tableColumn>
    <tableColumn id="22" xr3:uid="{73C370FA-C144-4510-BE7A-EAA1C1895377}" name="2020 Ops CF" dataDxfId="471" dataCellStyle="Comma">
      <calculatedColumnFormula>'Production &amp; FA'!Q12</calculatedColumnFormula>
    </tableColumn>
    <tableColumn id="23" xr3:uid="{D3BA21B8-E77B-417A-A207-5ADED4E101F5}" name="CFPS" dataDxfId="470" dataCellStyle="Comma">
      <calculatedColumnFormula>'Production &amp; FA'!R12</calculatedColumnFormula>
    </tableColumn>
    <tableColumn id="24" xr3:uid="{12A27B9E-AD3A-4CB0-AFC4-B4C7907565FE}" name="Reserves (koz) Gold" dataDxfId="469" dataCellStyle="Normal 2">
      <calculatedColumnFormula>'Production &amp; FA'!S12</calculatedColumnFormula>
    </tableColumn>
    <tableColumn id="25" xr3:uid="{8E5F2D24-4E90-4265-95BC-0D0890793ACD}" name="Copper &amp; GEO" dataDxfId="468" dataCellStyle="Comma">
      <calculatedColumnFormula>'Production &amp; FA'!T12</calculatedColumnFormula>
    </tableColumn>
    <tableColumn id="26" xr3:uid="{A17BB1E7-E19B-4FE9-AC26-C13E11B972FB}" name="2020 Ops CF-Copper" dataDxfId="467" dataCellStyle="Comma">
      <calculatedColumnFormula>'Production &amp; FA'!U12</calculatedColumnFormula>
    </tableColumn>
    <tableColumn id="27" xr3:uid="{F5B2A18A-A968-4376-A7A5-2219533FD362}" name="Total" dataDxfId="466" dataCellStyle="Comma">
      <calculatedColumnFormula>'Production &amp; FA'!V12</calculatedColumnFormula>
    </tableColumn>
    <tableColumn id="28" xr3:uid="{F3D73210-813D-4108-B504-0A760C2516E5}" name="2020 P/CFPS" dataDxfId="465" dataCellStyle="Comma">
      <calculatedColumnFormula>'Production &amp; FA'!W12</calculatedColumnFormula>
    </tableColumn>
    <tableColumn id="29" xr3:uid="{689EF420-389B-40B1-83EB-4EED5F2F5DFE}" name="2019 P/E" dataDxfId="464" dataCellStyle="Normal 2">
      <calculatedColumnFormula>'Production &amp; FA'!X12</calculatedColumnFormula>
    </tableColumn>
    <tableColumn id="30" xr3:uid="{D595AFE1-680D-4463-B2E9-FED0270D2A9D}" name="2019 EPS" dataDxfId="463" dataCellStyle="Comma">
      <calculatedColumnFormula>'Production &amp; FA'!Y12</calculatedColumnFormula>
    </tableColumn>
    <tableColumn id="31" xr3:uid="{6F2A565F-F0BF-45D4-9E1F-B5C71C6370FF}" name="2020 P/E" dataDxfId="462" dataCellStyle="Comma">
      <calculatedColumnFormula>'Production &amp; FA'!Z12</calculatedColumnFormula>
    </tableColumn>
    <tableColumn id="32" xr3:uid="{08BB4574-B4A3-4F4D-9F50-DFDE11F29048}" name="REV 3Yr Growth" dataDxfId="461" dataCellStyle="Percent">
      <calculatedColumnFormula>'Production &amp; FA'!AA12</calculatedColumnFormula>
    </tableColumn>
    <tableColumn id="33" xr3:uid="{0734CC7B-3679-4C57-8C2E-1CC1C260E15C}" name="ROA% TTM " dataDxfId="460" dataCellStyle="Percent">
      <calculatedColumnFormula>'Production &amp; FA'!AB12</calculatedColumnFormula>
    </tableColumn>
    <tableColumn id="34" xr3:uid="{6487D00A-38D5-4E26-8E5D-6EA369722E9B}" name="ROE % TTM " dataDxfId="459" dataCellStyle="Percent">
      <calculatedColumnFormula>'Production &amp; FA'!AC12</calculatedColumnFormula>
    </tableColumn>
    <tableColumn id="35" xr3:uid="{428AF725-4FEF-4F57-951B-2AAC132941E8}" name="Net Margin% TTM" dataDxfId="458" dataCellStyle="Percent">
      <calculatedColumnFormula>'Production &amp; FA'!AD12</calculatedColumnFormula>
    </tableColumn>
    <tableColumn id="36" xr3:uid="{8BE3FC24-2099-449F-B2DA-3FCF6BE174CA}" name="Current Ratio" dataDxfId="457" dataCellStyle="Comma">
      <calculatedColumnFormula>'Production &amp; FA'!AE12</calculatedColumnFormula>
    </tableColumn>
    <tableColumn id="37" xr3:uid="{97794DFA-EC18-45AC-ABFE-954A7247705D}" name="Cash Ratio" dataDxfId="456" dataCellStyle="Comma">
      <calculatedColumnFormula>'Production &amp; FA'!AF12</calculatedColumnFormula>
    </tableColumn>
    <tableColumn id="38" xr3:uid="{61371CF2-843D-4184-8A5E-C82719061863}" name="Debt-Equity" dataDxfId="455" dataCellStyle="Comma">
      <calculatedColumnFormula>'Production &amp; FA'!AG12</calculatedColumnFormula>
    </tableColumn>
    <tableColumn id="39" xr3:uid="{8462445A-5065-4E09-9A9B-8176410FD3D7}" name="Debt-Assest" dataDxfId="454" dataCellStyle="Comma">
      <calculatedColumnFormula>'Production &amp; FA'!AH12</calculatedColumnFormula>
    </tableColumn>
  </tableColumns>
  <tableStyleInfo name="TableStyleMedium1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2DD1F8C-2C5F-44DF-8B61-A17CB4688C58}" name="Table3" displayName="Table3" ref="B4:P10" totalsRowShown="0" headerRowDxfId="336">
  <autoFilter ref="B4:P10" xr:uid="{1698243A-412B-4424-A0E0-E6650C88890B}"/>
  <tableColumns count="15">
    <tableColumn id="1" xr3:uid="{E2606A43-63BA-42C8-B11A-0759C161F4FE}" name="Name " dataDxfId="335"/>
    <tableColumn id="2" xr3:uid="{6CCFCD74-60CF-4E63-9A5B-32E32E1A6146}" name="Price" dataDxfId="334"/>
    <tableColumn id="3" xr3:uid="{CD48A5E7-128D-40A6-8C78-C267C365B123}" name="Change" dataDxfId="333">
      <calculatedColumnFormula array="1">_FV(Table3[[#This Row],[Name ]],"Change")</calculatedColumnFormula>
    </tableColumn>
    <tableColumn id="4" xr3:uid="{19CED80A-A794-4CF0-9DF7-17D9832AFBE5}" name="Change (%)" dataDxfId="332">
      <calculatedColumnFormula array="1">_FV(Table3[[#This Row],[Name ]],"Change (%)",TRUE)</calculatedColumnFormula>
    </tableColumn>
    <tableColumn id="11" xr3:uid="{7E7B2962-64C3-48D3-906B-316F1C657390}" name="Volume " dataDxfId="331" dataCellStyle="Percent">
      <calculatedColumnFormula array="1">(_FV(Table3[[#This Row],[Name ]],"Volume"))/1000000</calculatedColumnFormula>
    </tableColumn>
    <tableColumn id="5" xr3:uid="{752C8543-3885-4239-8A58-7A68433D9630}" name="Market Cap (MM)" dataDxfId="330"/>
    <tableColumn id="6" xr3:uid="{2FD6FFD1-928E-4144-B215-1DD4B94B7FEB}" name="52 week high" dataDxfId="329"/>
    <tableColumn id="7" xr3:uid="{7B8FD714-0EE7-402A-BCEC-F416DD28460A}" name="52 week low" dataDxfId="328"/>
    <tableColumn id="8" xr3:uid="{1392CC1A-432F-4E03-933C-DE5C5B33A720}" name="Shares outstanding (MM)" dataDxfId="327"/>
    <tableColumn id="13" xr3:uid="{696492BF-455D-462D-A43B-B76CD501255C}" name="2020 Peak" dataDxfId="326"/>
    <tableColumn id="14" xr3:uid="{71B8C6E1-CA34-4C7E-9C37-B72C54AD2175}" name=" 2020 Peak TTD (%)" dataDxfId="325">
      <calculatedColumnFormula>(Table3[[#This Row],[Price]]-Table3[[#This Row],[2020 Peak]])/Table3[[#This Row],[2020 Peak]]</calculatedColumnFormula>
    </tableColumn>
    <tableColumn id="19" xr3:uid="{116B7962-7C2D-4E7A-89F5-D9E7D7840F6F}" name="50D MA" dataDxfId="324" dataCellStyle="Percent"/>
    <tableColumn id="18" xr3:uid="{9AE84330-B2E7-4DFC-A995-383670FAACE5}" name="200D MA" dataDxfId="323" dataCellStyle="Percent"/>
    <tableColumn id="17" xr3:uid="{2926DE41-8E29-477B-B7BD-F39F0064EC05}" name=" 2021 Peak TTD (%)" dataDxfId="322" dataCellStyle="Percent"/>
    <tableColumn id="16" xr3:uid="{439F2945-FC61-4E63-B956-3B17DEFC7B12}" name="Reasoning" dataDxfId="321"/>
  </tableColumns>
  <tableStyleInfo name="TableStyleMedium18"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C7EFCF9-75E0-4503-B5D3-17A0F0A69474}" name="Table5" displayName="Table5" ref="B11:M19" totalsRowShown="0" headerRowDxfId="320">
  <autoFilter ref="B11:M19" xr:uid="{08BD08E3-BB8C-4490-8D7A-061AAEAD7954}"/>
  <tableColumns count="12">
    <tableColumn id="1" xr3:uid="{C3F4A555-EF2D-4DEA-940B-F6C3DFB44769}" name="Name" dataDxfId="319"/>
    <tableColumn id="2" xr3:uid="{14728DAF-542B-4714-A36F-6B55AE822645}" name="Price" dataDxfId="318"/>
    <tableColumn id="3" xr3:uid="{CFCA562E-C820-4A6F-997B-1180881AEEDA}" name="Change" dataDxfId="317">
      <calculatedColumnFormula array="1">_FV(Table5[[#This Row],[Name]],"Change")</calculatedColumnFormula>
    </tableColumn>
    <tableColumn id="4" xr3:uid="{1097A228-FE1A-4AE8-8F2E-232B1CCAF867}" name="Change (%)" dataDxfId="316">
      <calculatedColumnFormula array="1">_FV(Table5[[#This Row],[Name]],"Change (%)",TRUE)</calculatedColumnFormula>
    </tableColumn>
    <tableColumn id="5" xr3:uid="{EDB3CE44-EEBF-49F6-842E-5F9DBE68E1E8}" name="Volume " dataDxfId="315">
      <calculatedColumnFormula array="1">_FV(Table5[[#This Row],[Name]],"Volume")</calculatedColumnFormula>
    </tableColumn>
    <tableColumn id="6" xr3:uid="{059F3073-D2F1-4D01-9D60-F30F42BEB835}" name="Market Cap (MM)" dataDxfId="314">
      <calculatedColumnFormula array="1">_FV(Table5[[#This Row],[Name]],"Market cap",TRUE)</calculatedColumnFormula>
    </tableColumn>
    <tableColumn id="7" xr3:uid="{DBDE06B8-02F1-4B50-B94B-D1525AE756AD}" name="52 week high" dataDxfId="313">
      <calculatedColumnFormula array="1">_FV(Table5[[#This Row],[Name]],"52 week high",TRUE)</calculatedColumnFormula>
    </tableColumn>
    <tableColumn id="8" xr3:uid="{83BB184B-AB84-4ADA-8988-8EFA607CF7AD}" name="52 week low" dataDxfId="312">
      <calculatedColumnFormula array="1">_FV(Table5[[#This Row],[Name]],"52 week low",TRUE)</calculatedColumnFormula>
    </tableColumn>
    <tableColumn id="9" xr3:uid="{12FE7B19-DB32-45FA-A6D8-9FC8DB09F744}" name="Shares outstanding (MM)" dataDxfId="311">
      <calculatedColumnFormula array="1">(_FV(Table5[[#This Row],[Name]],"Shares outstanding",TRUE))/1000000</calculatedColumnFormula>
    </tableColumn>
    <tableColumn id="10" xr3:uid="{5B807E84-2D5D-4EF7-8717-B12103F453DA}" name="2020 Peak" dataDxfId="310"/>
    <tableColumn id="11" xr3:uid="{B28E1977-5E9C-4BEB-A22D-A8A73085B544}" name="Post Covid Change" dataDxfId="309" dataCellStyle="Percent">
      <calculatedColumnFormula>(Table5[[#This Row],[Price]]-Table5[[#This Row],[2020 Peak]])/Table5[[#This Row],[2020 Peak]]</calculatedColumnFormula>
    </tableColumn>
    <tableColumn id="12" xr3:uid="{210CCD06-9A69-45EB-9899-8C11FB749147}" name="Reasoning" dataDxfId="308"/>
  </tableColumns>
  <tableStyleInfo name="TableStyleMedium1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7E9D09A-1C53-4C7C-A0A8-A37F77108F77}" name="Table7" displayName="Table7" ref="B20:M28" totalsRowShown="0" headerRowDxfId="307">
  <autoFilter ref="B20:M28" xr:uid="{D181A648-A086-4A5D-ACAF-BCC531421E3C}"/>
  <tableColumns count="12">
    <tableColumn id="1" xr3:uid="{A372DB21-6C95-4AE0-919A-680BA2C2F15F}" name="Name" dataDxfId="306"/>
    <tableColumn id="2" xr3:uid="{C6507D1A-6A9D-4DAE-B276-F6195088E803}" name="Price" dataDxfId="305"/>
    <tableColumn id="3" xr3:uid="{4B919FB5-67EF-4B04-B3F1-7769B78E7D65}" name="Change" dataDxfId="304">
      <calculatedColumnFormula array="1">_FV(Table7[[#This Row],[Name]],"Change")</calculatedColumnFormula>
    </tableColumn>
    <tableColumn id="4" xr3:uid="{BF1D73BC-53E8-44EC-87C1-A073B04C3796}" name="Change (%)" dataDxfId="303">
      <calculatedColumnFormula array="1">_FV(Table7[[#This Row],[Name]],"Change (%)",TRUE)</calculatedColumnFormula>
    </tableColumn>
    <tableColumn id="5" xr3:uid="{9F1AFB18-38C1-4570-A1F7-C322B09AA368}" name="Volume " dataDxfId="302">
      <calculatedColumnFormula array="1">_FV(Table7[[#This Row],[Name]],"Volume")</calculatedColumnFormula>
    </tableColumn>
    <tableColumn id="6" xr3:uid="{B8466445-69D2-4504-8737-6A21FF02AAD6}" name="Market Cap (MM)" dataDxfId="301">
      <calculatedColumnFormula array="1">_FV(Table7[[#This Row],[Name]],"Market cap",TRUE)</calculatedColumnFormula>
    </tableColumn>
    <tableColumn id="7" xr3:uid="{CB2F4500-D8C6-44F0-A8E6-6EF6D819BDE3}" name="52 week high" dataDxfId="300">
      <calculatedColumnFormula array="1">_FV(Table7[[#This Row],[Name]],"52 week high",TRUE)</calculatedColumnFormula>
    </tableColumn>
    <tableColumn id="8" xr3:uid="{ACAA04E8-47AD-4A12-AD70-06DD87283C5F}" name="52 week low" dataDxfId="299">
      <calculatedColumnFormula array="1">_FV(Table7[[#This Row],[Name]],"52 week low",TRUE)</calculatedColumnFormula>
    </tableColumn>
    <tableColumn id="9" xr3:uid="{E76179F7-AD84-44A9-B32D-28FD36725997}" name="Shares outstanding (MM)" dataDxfId="298">
      <calculatedColumnFormula array="1">_FV(Table7[[#This Row],[Name]],"Shares outstanding",TRUE)/1000000</calculatedColumnFormula>
    </tableColumn>
    <tableColumn id="10" xr3:uid="{586B3B5F-02AC-4FD7-BA8E-0F8AA6EBF44B}" name="2020 Peak" dataDxfId="297"/>
    <tableColumn id="11" xr3:uid="{27ECD5E1-3494-4A37-B035-F9C4AB3C122E}" name="Post Covid Change" dataDxfId="296">
      <calculatedColumnFormula>(Table7[[#This Row],[Price]]-Table7[[#This Row],[2020 Peak]])/Table7[[#This Row],[2020 Peak]]</calculatedColumnFormula>
    </tableColumn>
    <tableColumn id="12" xr3:uid="{277BCA27-B4B6-4D86-833E-779A379194E8}" name="Reasoning" dataDxfId="295"/>
  </tableColumns>
  <tableStyleInfo name="TableStyleMedium18"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3C27DD6-2F8C-40AB-908E-6ABAB71C1646}" name="Table8" displayName="Table8" ref="B30:M41" totalsRowShown="0" headerRowDxfId="294">
  <autoFilter ref="B30:M41" xr:uid="{72D4EFA6-C3C1-49C9-ACDF-A1594DDD05ED}"/>
  <tableColumns count="12">
    <tableColumn id="1" xr3:uid="{C77378D2-24AA-41BF-8433-C07FC7C81D9F}" name="Name" dataDxfId="293"/>
    <tableColumn id="2" xr3:uid="{642439F9-1DC4-4D7B-A268-ADC910FD2110}" name="Price" dataDxfId="292"/>
    <tableColumn id="3" xr3:uid="{12EA9F5F-08F4-4475-B42D-092E6EB5A514}" name="Change" dataDxfId="291">
      <calculatedColumnFormula array="1">_FV(Table8[[#This Row],[Name]],"Change")</calculatedColumnFormula>
    </tableColumn>
    <tableColumn id="4" xr3:uid="{EE114270-B015-46F6-9300-924A42D7FE13}" name="Change (%)" dataDxfId="290">
      <calculatedColumnFormula array="1">_FV(Table8[[#This Row],[Name]],"Change (%)",TRUE)</calculatedColumnFormula>
    </tableColumn>
    <tableColumn id="5" xr3:uid="{383DF8C6-58F3-40ED-BD6F-F8D7B84D77A0}" name="Volume " dataDxfId="289">
      <calculatedColumnFormula array="1">_FV(Table8[[#This Row],[Name]],"Volume")</calculatedColumnFormula>
    </tableColumn>
    <tableColumn id="6" xr3:uid="{8CE23D60-33FF-4796-A92F-4F8BE01CA823}" name="Market Cap (MM)" dataDxfId="288">
      <calculatedColumnFormula array="1">_FV(Table8[[#This Row],[Name]],"Market cap",TRUE)</calculatedColumnFormula>
    </tableColumn>
    <tableColumn id="7" xr3:uid="{2BB14C8D-0595-43F5-B0F0-BB7C4C25FD90}" name="52 week high" dataDxfId="287">
      <calculatedColumnFormula array="1">_FV(Table8[[#This Row],[Name]],"52 week high",TRUE)</calculatedColumnFormula>
    </tableColumn>
    <tableColumn id="8" xr3:uid="{2872EC43-BD00-4A42-8813-5FBDBE9EB2E5}" name="52 week low" dataDxfId="286">
      <calculatedColumnFormula array="1">_FV(Table8[[#This Row],[Name]],"52 week low",TRUE)</calculatedColumnFormula>
    </tableColumn>
    <tableColumn id="9" xr3:uid="{FF97FDBA-88BE-4FBC-B257-62C20455FA23}" name="Shares outstanding (MM)" dataDxfId="285">
      <calculatedColumnFormula array="1">_FV(Table8[[#This Row],[Name]],"Shares outstanding",TRUE)</calculatedColumnFormula>
    </tableColumn>
    <tableColumn id="10" xr3:uid="{8203ADB6-2F3B-460F-BB0A-896877B56185}" name="2020 Peak" dataDxfId="284"/>
    <tableColumn id="11" xr3:uid="{BB4BFFC3-AE21-4485-90DD-EBC28F6D44B0}" name="Post Covid Change" dataDxfId="283">
      <calculatedColumnFormula>Table8[[#This Row],[Price]]-Table8[[#This Row],[2020 Peak]]</calculatedColumnFormula>
    </tableColumn>
    <tableColumn id="12" xr3:uid="{E629EE72-BC42-4A76-999E-E3DF1527AF3F}" name="Reasoning" dataDxfId="282"/>
  </tableColumns>
  <tableStyleInfo name="TableStyleMedium18"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BE76A4C-599A-4F75-A539-D862959DAF30}" name="Table13" displayName="Table13" ref="B1:E2" totalsRowShown="0" headerRowDxfId="281">
  <autoFilter ref="B1:E2" xr:uid="{AB850001-9118-4FED-8CC2-AD7722752D13}"/>
  <tableColumns count="4">
    <tableColumn id="1" xr3:uid="{09AF65F6-1DDC-487F-8946-D9CCF955E4FF}" name="Commodity" dataDxfId="280"/>
    <tableColumn id="2" xr3:uid="{A4870E64-FD5A-4BC9-AF20-9C2344149DF3}" name="Price" dataDxfId="279">
      <calculatedColumnFormula>_FV(B2,"Price")</calculatedColumnFormula>
    </tableColumn>
    <tableColumn id="3" xr3:uid="{CE8B073D-F580-4998-8314-E71EA69449A1}" name="Change" dataDxfId="278">
      <calculatedColumnFormula array="1">_FV(Table13[[#This Row],[Commodity]],"Change")</calculatedColumnFormula>
    </tableColumn>
    <tableColumn id="4" xr3:uid="{1D40BE27-F4AF-431F-83C1-E3CDC223E55F}" name="Change (%)" dataDxfId="277">
      <calculatedColumnFormula array="1">_FV(Table13[[#This Row],[Commodity]],"Change (%)",TRUE)</calculatedColumnFormula>
    </tableColumn>
  </tableColumns>
  <tableStyleInfo name="TableStyleMedium18"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420B6DA-285C-4813-B695-1BFAC2123ACD}" name="Table4" displayName="Table4" ref="A1:AL30" totalsRowShown="0" headerRowDxfId="453" dataDxfId="451" headerRowBorderDxfId="452" tableBorderDxfId="450" dataCellStyle="Comma">
  <autoFilter ref="A1:AL30" xr:uid="{BB866808-F4BE-476B-A5AF-1B312350C9A0}"/>
  <tableColumns count="38">
    <tableColumn id="1" xr3:uid="{20FBBC7D-7C21-4C0A-B4A3-0DF018FFD25F}" name="Company" dataDxfId="449"/>
    <tableColumn id="2" xr3:uid="{3F4C6FE9-7948-4908-91D5-63F8DE7C4303}" name="Category" dataDxfId="448"/>
    <tableColumn id="3" xr3:uid="{B78741B7-3881-44B8-A90F-34E02FA07F13}" name="Price" dataDxfId="447"/>
    <tableColumn id="4" xr3:uid="{208D987A-AC50-4A92-8514-B3D677026ADC}" name="Market Cap (MM)" dataDxfId="446" dataCellStyle="Comma"/>
    <tableColumn id="5" xr3:uid="{72C90762-9A23-49FA-9D46-FA5698F739A9}" name="S/O" dataDxfId="445" dataCellStyle="Comma"/>
    <tableColumn id="6" xr3:uid="{C5AB1A5B-C321-4E5A-93A8-E22987DA7EF3}" name="Change" dataDxfId="444"/>
    <tableColumn id="7" xr3:uid="{4018D1B2-E4DA-4840-B622-BC4145D9FAAF}" name="Change (%)" dataDxfId="443" dataCellStyle="Percent"/>
    <tableColumn id="8" xr3:uid="{7A67B776-D81F-418F-AB57-42D52387A57C}" name="Volume" dataDxfId="442" dataCellStyle="Comma"/>
    <tableColumn id="9" xr3:uid="{B11D3538-EC37-4C7E-ABEF-676FA7934603}" name="52 week high" dataDxfId="441"/>
    <tableColumn id="10" xr3:uid="{856387D6-3476-4CBC-8EE8-EF3EA07A02CA}" name="52 week low" dataDxfId="440"/>
    <tableColumn id="11" xr3:uid="{7F72A85B-4C1A-45AC-8647-C7DF53CA65FA}" name="Prod 2018E" dataDxfId="439" dataCellStyle="Comma"/>
    <tableColumn id="12" xr3:uid="{2FC125F3-6713-4950-8ED5-44B9AD53CD1C}" name="Prod 2019E" dataDxfId="438" dataCellStyle="Comma"/>
    <tableColumn id="13" xr3:uid="{1B922EE9-18E4-4E13-9D1B-8F6893695921}" name="2020E Guidance.Avg" dataDxfId="437" dataCellStyle="Comma"/>
    <tableColumn id="14" xr3:uid="{23366749-6341-4D9F-A5A9-5A8297137446}" name="2020E Guidance Revised " dataDxfId="436" dataCellStyle="Comma"/>
    <tableColumn id="15" xr3:uid="{421F5B62-D9AD-429C-8239-1F06470FE245}" name="AISC 2018E" dataDxfId="435" dataCellStyle="Comma"/>
    <tableColumn id="16" xr3:uid="{571D148F-B52F-4EE8-87A4-B12AC7920BDA}" name="AISC 2019E" dataDxfId="434" dataCellStyle="Comma"/>
    <tableColumn id="17" xr3:uid="{3B9EF4D8-D9E5-4331-9AAF-5ECE43BB2AD4}" name="AISC 2020E Guidance" dataDxfId="433" dataCellStyle="Comma"/>
    <tableColumn id="18" xr3:uid="{044635E5-2864-4035-82D4-7E065F7596DA}" name="2020 Margin" dataDxfId="432" dataCellStyle="Comma"/>
    <tableColumn id="19" xr3:uid="{69994EB6-1318-4AF2-BEBD-82A3CE91581C}" name="Margin %" dataDxfId="431" dataCellStyle="Percent"/>
    <tableColumn id="20" xr3:uid="{7ADDFEC2-11BA-49FD-986E-FC80F73DA3BD}" name="2020 Ops CF" dataDxfId="430"/>
    <tableColumn id="21" xr3:uid="{20309F9C-B9A2-4F6E-9392-97D3CB2B8CA9}" name="CFPS" dataDxfId="429"/>
    <tableColumn id="22" xr3:uid="{3DC514F4-8461-46B0-8F08-1D18568391D4}" name="Reserves (koz) Gold" dataDxfId="428"/>
    <tableColumn id="23" xr3:uid="{9BF1F078-60D1-4D20-8FD4-9E8459964A64}" name="Copper &amp; GEO" dataDxfId="427"/>
    <tableColumn id="24" xr3:uid="{54FD2E40-076B-45A5-85F3-4579F3A4C484}" name="2020 Ops CF-Copper" dataDxfId="426"/>
    <tableColumn id="25" xr3:uid="{9E50C993-5562-4A3A-B563-3642CA5BD2A1}" name="Total" dataDxfId="425" dataCellStyle="Comma"/>
    <tableColumn id="26" xr3:uid="{80898C23-D860-46EC-974D-C8A5B787D444}" name="2020 P/CFPS" dataDxfId="424" dataCellStyle="Comma"/>
    <tableColumn id="27" xr3:uid="{1FFA5AEA-4E2B-4DFA-A700-A6BB626D9DD2}" name="2019 P/E" dataDxfId="423" dataCellStyle="Comma"/>
    <tableColumn id="28" xr3:uid="{0244D090-87A3-481F-A322-B400B0B61C77}" name="2019 EPS" dataDxfId="422" dataCellStyle="Comma"/>
    <tableColumn id="29" xr3:uid="{D6B43B39-42CD-495C-A7ED-8DC751947702}" name="2020 P/E" dataDxfId="421" dataCellStyle="Comma"/>
    <tableColumn id="30" xr3:uid="{1D282700-8D6A-452A-A7AB-BE386D629F3F}" name="REV 3Yr Growth" dataDxfId="420" dataCellStyle="Percent"/>
    <tableColumn id="31" xr3:uid="{70F86AE8-E6B8-4C11-8721-499BD9A3CA05}" name="ROA% TTM " dataDxfId="419" dataCellStyle="Percent"/>
    <tableColumn id="32" xr3:uid="{CA0D0631-E31B-4CB1-AF1B-9B09690EB4C5}" name="ROE % TTM " dataDxfId="418" dataCellStyle="Percent"/>
    <tableColumn id="33" xr3:uid="{C4CAE8DC-35BF-475B-B5D1-7E3890D4FC93}" name="Net Margin% TTM" dataDxfId="417" dataCellStyle="Percent"/>
    <tableColumn id="34" xr3:uid="{7725A60C-98F3-4CD5-9DD7-F69E6C6842D6}" name="Current Ratio" dataDxfId="416" dataCellStyle="Comma"/>
    <tableColumn id="35" xr3:uid="{4314C393-B25F-4BA7-8E14-C0418E532BA6}" name="Cash Ratio" dataDxfId="415" dataCellStyle="Comma"/>
    <tableColumn id="36" xr3:uid="{DEA12294-9F4B-4298-8EBA-B8BC2B11A78A}" name="Debt-Equity" dataDxfId="414" dataCellStyle="Comma"/>
    <tableColumn id="37" xr3:uid="{14967442-5BAB-4539-BBCA-0C8B6941B1AD}" name="Debt-Assest" dataDxfId="413" dataCellStyle="Comma"/>
    <tableColumn id="38" xr3:uid="{05EFDB5B-9699-471B-8C73-F3DE00BEEE6C}" name="Risk Rating" dataDxfId="412" dataCellStyle="Comma"/>
  </tableColumns>
  <tableStyleInfo name="TableStyleMedium18"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A7B862-85A9-4A63-89A5-335A9B6B7CD0}" name="Table2" displayName="Table2" ref="A1:AL30" totalsRowShown="0" headerRowDxfId="411" headerRowBorderDxfId="410" tableBorderDxfId="409">
  <autoFilter ref="A1:AL30" xr:uid="{6157ED07-E0FD-4AD8-855B-A80AB49506F6}"/>
  <tableColumns count="38">
    <tableColumn id="1" xr3:uid="{0C20C5B6-D03E-4146-83CF-A4CDBAAA377D}" name="Company" dataDxfId="408"/>
    <tableColumn id="2" xr3:uid="{9AD199DD-6567-480A-932E-9F25B00605CD}" name="Category">
      <calculatedColumnFormula>VLOOKUP($A2,Table1[],2,FALSE)</calculatedColumnFormula>
    </tableColumn>
    <tableColumn id="3" xr3:uid="{BC6B6A8A-447D-4EB6-81FB-8086685C6816}" name="Price" dataDxfId="407">
      <calculatedColumnFormula>VLOOKUP($A2,Table1[],3,FALSE)</calculatedColumnFormula>
    </tableColumn>
    <tableColumn id="4" xr3:uid="{6E585B90-1F03-4C7D-969B-51375B7D7B25}" name="Market Cap (MM)" dataDxfId="406" dataCellStyle="Comma">
      <calculatedColumnFormula>VLOOKUP($A2,Table1[],4,FALSE)</calculatedColumnFormula>
    </tableColumn>
    <tableColumn id="5" xr3:uid="{3526DE6E-871B-4521-BF08-0148B3C0BBAD}" name="S/O" dataDxfId="405" dataCellStyle="Comma">
      <calculatedColumnFormula>VLOOKUP($A2,Table1[],5,FALSE)</calculatedColumnFormula>
    </tableColumn>
    <tableColumn id="6" xr3:uid="{338BD9A3-D8C2-4B9E-A387-09633D240DEB}" name="Change">
      <calculatedColumnFormula>VLOOKUP($A2,Table1[],6,FALSE)</calculatedColumnFormula>
    </tableColumn>
    <tableColumn id="7" xr3:uid="{D686DFC2-61F1-41A2-BF10-BB03D71FCD8B}" name="Change (%)" dataDxfId="404" dataCellStyle="Percent">
      <calculatedColumnFormula>VLOOKUP($A2,Table1[],7,FALSE)</calculatedColumnFormula>
    </tableColumn>
    <tableColumn id="8" xr3:uid="{6416EA6A-BD20-48A5-B290-D5827ED356EB}" name="Volume" dataDxfId="403" dataCellStyle="Comma">
      <calculatedColumnFormula>VLOOKUP($A2,Table1[],8,FALSE)</calculatedColumnFormula>
    </tableColumn>
    <tableColumn id="9" xr3:uid="{58C60247-66F5-4C6D-AE31-AABC8E0D79FC}" name="52 week high" dataDxfId="402">
      <calculatedColumnFormula>VLOOKUP($A2,Table1[],9,FALSE)</calculatedColumnFormula>
    </tableColumn>
    <tableColumn id="10" xr3:uid="{14E41ADC-2A6A-4167-B4A4-CE0EA6347B8F}" name="52 week low" dataDxfId="401">
      <calculatedColumnFormula>VLOOKUP($A2,Table1[],10,FALSE)</calculatedColumnFormula>
    </tableColumn>
    <tableColumn id="11" xr3:uid="{2285C4B3-8512-4A26-AC0B-8F46E1069B9A}" name="Prod 2018E" dataDxfId="400" dataCellStyle="Comma">
      <calculatedColumnFormula>VLOOKUP($A2,Table1[],11,FALSE)</calculatedColumnFormula>
    </tableColumn>
    <tableColumn id="12" xr3:uid="{5C663E18-919F-4451-9F88-FC3A22EAB4E9}" name="Prod 2019E" dataDxfId="399" dataCellStyle="Comma">
      <calculatedColumnFormula>VLOOKUP($A2,Table1[],12,FALSE)</calculatedColumnFormula>
    </tableColumn>
    <tableColumn id="13" xr3:uid="{6C3F11CC-445A-4460-AB02-8ED6F2231C29}" name="2020E Guidance.Avg" dataDxfId="398" dataCellStyle="Comma">
      <calculatedColumnFormula>VLOOKUP($A2,Table1[],13,FALSE)</calculatedColumnFormula>
    </tableColumn>
    <tableColumn id="14" xr3:uid="{A5691F3C-99BD-496A-86E3-8BF6B9D92D38}" name="2020E Guidance Revised " dataDxfId="397" dataCellStyle="Comma">
      <calculatedColumnFormula>VLOOKUP($A2,Table1[],14,FALSE)</calculatedColumnFormula>
    </tableColumn>
    <tableColumn id="16" xr3:uid="{E9F68929-E231-4428-BD31-5C791AB116F3}" name="AISC 2018E" dataDxfId="396" dataCellStyle="Comma">
      <calculatedColumnFormula>VLOOKUP($A2,Table1[],16,FALSE)</calculatedColumnFormula>
    </tableColumn>
    <tableColumn id="17" xr3:uid="{0513C28F-9F58-426B-9C71-7E6849D5C062}" name="AISC 2019E" dataDxfId="395" dataCellStyle="Comma">
      <calculatedColumnFormula>VLOOKUP($A2,Table1[],17,FALSE)</calculatedColumnFormula>
    </tableColumn>
    <tableColumn id="18" xr3:uid="{12A0046D-F6FA-4BC6-988D-555EBE971CA5}" name="AISC 2020E Guidance" dataDxfId="394" dataCellStyle="Comma">
      <calculatedColumnFormula>VLOOKUP($A2,Table1[],18,FALSE)</calculatedColumnFormula>
    </tableColumn>
    <tableColumn id="20" xr3:uid="{083CA807-2856-464B-BBBD-2677A5F10FA1}" name="2020 Margin" dataDxfId="393" dataCellStyle="Comma">
      <calculatedColumnFormula>VLOOKUP($A2,Table1[],20,FALSE)</calculatedColumnFormula>
    </tableColumn>
    <tableColumn id="21" xr3:uid="{38EADC53-2340-45B1-984F-71A4FEA4DE24}" name="Margin %" dataCellStyle="Percent">
      <calculatedColumnFormula>VLOOKUP($A2,Table1[],21,FALSE)</calculatedColumnFormula>
    </tableColumn>
    <tableColumn id="22" xr3:uid="{24FDA62C-4AF3-4923-920B-673426272DEA}" name="2020 Ops CF">
      <calculatedColumnFormula>VLOOKUP($A2,Table1[],22,FALSE)</calculatedColumnFormula>
    </tableColumn>
    <tableColumn id="23" xr3:uid="{01EED762-2398-4ED6-AE49-16584F35012F}" name="CFPS">
      <calculatedColumnFormula>VLOOKUP($A2,Table1[],4,FALSE)</calculatedColumnFormula>
    </tableColumn>
    <tableColumn id="24" xr3:uid="{16052DD0-B88A-476B-A80C-C8DED7A16F55}" name="Reserves (Moz) Gold" dataDxfId="392">
      <calculatedColumnFormula>VLOOKUP($A2,Table1[],24,FALSE)</calculatedColumnFormula>
    </tableColumn>
    <tableColumn id="25" xr3:uid="{FFBED461-5B24-444B-AA45-C71E4E2E40C0}" name="Copper &amp; GEO" dataDxfId="391">
      <calculatedColumnFormula>VLOOKUP($A2,Table1[],25,FALSE)</calculatedColumnFormula>
    </tableColumn>
    <tableColumn id="26" xr3:uid="{B44F515E-C9BC-48BB-A832-A82C167F80F7}" name="2020 Ops CF-Copper" dataDxfId="390">
      <calculatedColumnFormula>VLOOKUP($A2,Table1[],26,FALSE)</calculatedColumnFormula>
    </tableColumn>
    <tableColumn id="27" xr3:uid="{9F37151C-613A-41A8-8410-287690351BE5}" name="Estimated 2020 OPSCF" dataDxfId="389" dataCellStyle="Comma">
      <calculatedColumnFormula>VLOOKUP($A2,Table1[],27,FALSE)</calculatedColumnFormula>
    </tableColumn>
    <tableColumn id="28" xr3:uid="{E414AD22-7281-4C12-A453-4096629AD542}" name="2020 P/CFPS" dataDxfId="388" dataCellStyle="Comma">
      <calculatedColumnFormula>VLOOKUP($A2,Table1[],28,FALSE)</calculatedColumnFormula>
    </tableColumn>
    <tableColumn id="29" xr3:uid="{D889426F-83C7-4FC5-BF25-EAF1784222B0}" name="2019 P/E" dataDxfId="387" dataCellStyle="Comma">
      <calculatedColumnFormula>VLOOKUP($A2,Table1[],29,FALSE)</calculatedColumnFormula>
    </tableColumn>
    <tableColumn id="30" xr3:uid="{49E7CCC9-B3CA-4FAD-ABDD-40DC4BE910EC}" name="2019 EPS" dataDxfId="386" dataCellStyle="Comma">
      <calculatedColumnFormula>VLOOKUP($A2,Table1[],30,FALSE)</calculatedColumnFormula>
    </tableColumn>
    <tableColumn id="31" xr3:uid="{AA3D0342-1B59-4E0B-9BD9-AE83B34F3262}" name="2020 P/E" dataDxfId="385" dataCellStyle="Comma">
      <calculatedColumnFormula>VLOOKUP($A2,Table1[],31,FALSE)</calculatedColumnFormula>
    </tableColumn>
    <tableColumn id="32" xr3:uid="{95C3F314-D561-4662-880B-0EA6DC4DE0F5}" name="REV 3Yr Growth" dataDxfId="384" dataCellStyle="Percent">
      <calculatedColumnFormula>VLOOKUP($A2,Table1[],32,FALSE)</calculatedColumnFormula>
    </tableColumn>
    <tableColumn id="33" xr3:uid="{F0B1EE62-D80D-4679-B55D-37BD71342866}" name="ROA% TTM " dataDxfId="383" dataCellStyle="Percent">
      <calculatedColumnFormula>VLOOKUP($A2,Table1[],33,FALSE)</calculatedColumnFormula>
    </tableColumn>
    <tableColumn id="34" xr3:uid="{B432EF6F-F940-4EE5-AC52-36D6F712EE83}" name="ROE % TTM " dataDxfId="382" dataCellStyle="Percent">
      <calculatedColumnFormula>VLOOKUP($A2,Table1[],34,FALSE)</calculatedColumnFormula>
    </tableColumn>
    <tableColumn id="35" xr3:uid="{4DA0E590-74CA-4777-9E9A-167641B180D9}" name="Net Margin% TTM" dataDxfId="381" dataCellStyle="Percent">
      <calculatedColumnFormula>VLOOKUP($A2,Table1[],35,FALSE)</calculatedColumnFormula>
    </tableColumn>
    <tableColumn id="36" xr3:uid="{94F41A71-94CA-4D45-BEF6-D4A38C38F580}" name="Current Ratio" dataDxfId="380" dataCellStyle="Comma">
      <calculatedColumnFormula>VLOOKUP($A2,Table1[],36,FALSE)</calculatedColumnFormula>
    </tableColumn>
    <tableColumn id="37" xr3:uid="{F3D60E34-D2BC-4654-BD1E-E0CC72020894}" name="Cash Ratio" dataDxfId="379" dataCellStyle="Comma">
      <calculatedColumnFormula>VLOOKUP($A2,Table1[],37,FALSE)</calculatedColumnFormula>
    </tableColumn>
    <tableColumn id="38" xr3:uid="{04F6B4C1-1F03-410C-A7E1-C1346C245228}" name="Debt-Equity" dataDxfId="378" dataCellStyle="Comma">
      <calculatedColumnFormula>VLOOKUP($A2,Table1[],38,FALSE)</calculatedColumnFormula>
    </tableColumn>
    <tableColumn id="39" xr3:uid="{0BD86388-82B8-40C0-92B2-3DA9F25A6A6D}" name="Debt-Assest" dataDxfId="377" dataCellStyle="Comma">
      <calculatedColumnFormula>VLOOKUP($A2,Table1[],39,FALSE)</calculatedColumnFormula>
    </tableColumn>
    <tableColumn id="15" xr3:uid="{E2E85728-2A6A-497F-A921-9220F364E5D4}" name="Risk Rating" dataDxfId="376" dataCellStyle="Comma"/>
  </tableColumns>
  <tableStyleInfo name="TableStyleMedium2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F535A66-9C04-4B77-A8D9-ABBA1A592900}" name="Table126" displayName="Table126" ref="A1:AN30" totalsRowShown="0" headerRowDxfId="375" dataDxfId="374" dataCellStyle="Comma">
  <autoFilter ref="A1:AN30" xr:uid="{3AFBF351-23B2-47C1-BFBA-EAF7198210FF}">
    <filterColumn colId="0">
      <filters>
        <filter val="B2Gold Corp (XTSE:BTO)"/>
        <filter val="Centamin PLC (XTSE:CEE)"/>
        <filter val="Centerra Gold Inc (XTSE:CG)"/>
        <filter val="Eldorado Gold Corp (XTSE:ELD)"/>
        <filter val="Equinox Gold Corp (XTSE:EQX)"/>
        <filter val="Iamgold Corp (XTSE:IMG)"/>
        <filter val="K92 Mining Inc (XTSX:KNT)"/>
        <filter val="Kinross Gold Corp (XTSE:K)"/>
        <filter val="McEwen Mining Inc (XTSE:MUX)"/>
        <filter val="New Gold Inc (XTSE:NGD)"/>
        <filter val="TMAC Resources Inc (XTSE:TMR)"/>
        <filter val="Victoria Gold Corp (XTSE:VGCX)"/>
      </filters>
    </filterColumn>
  </autoFilter>
  <sortState xmlns:xlrd2="http://schemas.microsoft.com/office/spreadsheetml/2017/richdata2" ref="A3:AM29">
    <sortCondition descending="1" ref="X1:X30"/>
  </sortState>
  <tableColumns count="40">
    <tableColumn id="1" xr3:uid="{AE3FE943-B276-47F0-B335-C72B289A9CAF}" name="Company">
      <calculatedColumnFormula>'Production &amp; FA'!B12</calculatedColumnFormula>
    </tableColumn>
    <tableColumn id="2" xr3:uid="{8413030E-52F0-4F79-8D05-88A3E3670242}" name="Category"/>
    <tableColumn id="3" xr3:uid="{7F23040E-23F1-49A0-AAF8-3202BB147786}" name="Price">
      <calculatedColumnFormula>'Production &amp; FA'!C12</calculatedColumnFormula>
    </tableColumn>
    <tableColumn id="4" xr3:uid="{57D32B33-AA0F-4B30-8892-A0B8125E5375}" name="Market Cap (MM)" dataDxfId="373" dataCellStyle="Comma">
      <calculatedColumnFormula>'Production &amp; FA'!D12</calculatedColumnFormula>
    </tableColumn>
    <tableColumn id="5" xr3:uid="{93196226-EF72-4DB7-B9D4-FBD4CE0B45EF}" name="S/O" dataDxfId="372" dataCellStyle="Comma">
      <calculatedColumnFormula>'Production &amp; FA'!E12</calculatedColumnFormula>
    </tableColumn>
    <tableColumn id="6" xr3:uid="{1244AF0B-B03D-4AD4-9EDD-D6AB238082F4}" name="Change" dataDxfId="371">
      <calculatedColumnFormula>_FV(A2,"Change")</calculatedColumnFormula>
    </tableColumn>
    <tableColumn id="7" xr3:uid="{68BEEED9-FEAA-4C0C-9F5B-9D4AB326B10B}" name="Change (%)" dataDxfId="370" dataCellStyle="Percent">
      <calculatedColumnFormula>_FV(A2,"Change (%)",TRUE)</calculatedColumnFormula>
    </tableColumn>
    <tableColumn id="8" xr3:uid="{9D00B3FA-BABB-4707-92E3-57A52CFD3E9A}" name="Volume" dataDxfId="369">
      <calculatedColumnFormula>_FV(A2,"Volume")</calculatedColumnFormula>
    </tableColumn>
    <tableColumn id="9" xr3:uid="{1BBCC493-DDFA-454B-9E27-DB104800481C}" name="52 week high" dataDxfId="368">
      <calculatedColumnFormula>_FV(A2,"52 week high",TRUE)</calculatedColumnFormula>
    </tableColumn>
    <tableColumn id="10" xr3:uid="{A6BB5F8C-DA9D-47D2-9C01-C872EAD0D3DD}" name="52 week low" dataDxfId="367">
      <calculatedColumnFormula>_FV(A2,"52 week low",TRUE)</calculatedColumnFormula>
    </tableColumn>
    <tableColumn id="11" xr3:uid="{EB7FDA67-20B7-4B02-AE8D-67A05BC58F18}" name="Prod 2018E" dataDxfId="366" dataCellStyle="Comma">
      <calculatedColumnFormula>'Production &amp; FA'!F12</calculatedColumnFormula>
    </tableColumn>
    <tableColumn id="12" xr3:uid="{616ABD5C-35BB-47D4-BD32-E6BE99BFE1BB}" name="Prod 2019E" dataDxfId="365" dataCellStyle="Comma">
      <calculatedColumnFormula>'Production &amp; FA'!G12</calculatedColumnFormula>
    </tableColumn>
    <tableColumn id="13" xr3:uid="{7971350A-F6B1-4438-9FBC-D48F49FE514A}" name="2020E Guidance.Avg" dataDxfId="364" dataCellStyle="Comma">
      <calculatedColumnFormula>'Production &amp; FA'!H12</calculatedColumnFormula>
    </tableColumn>
    <tableColumn id="14" xr3:uid="{4C152DCB-02FD-45C3-8DF7-15DCF28E290C}" name="2020E Guidance Revised " dataDxfId="363" dataCellStyle="Comma">
      <calculatedColumnFormula>'Production &amp; FA'!I12</calculatedColumnFormula>
    </tableColumn>
    <tableColumn id="15" xr3:uid="{402C04A8-CBA8-49DB-8767-BA0D2A835917}" name="Prod Trend" dataDxfId="362" dataCellStyle="Comma">
      <calculatedColumnFormula>'Production &amp; FA'!J12</calculatedColumnFormula>
    </tableColumn>
    <tableColumn id="16" xr3:uid="{84ECEE82-B346-494D-BA87-4C946FBE7F20}" name="AISC 2018E" dataDxfId="361" dataCellStyle="Comma">
      <calculatedColumnFormula>'Production &amp; FA'!K12</calculatedColumnFormula>
    </tableColumn>
    <tableColumn id="17" xr3:uid="{ED6E243A-222B-42D1-8C7A-D573B4EF9629}" name="AISC 2019E" dataDxfId="360" dataCellStyle="Comma">
      <calculatedColumnFormula>'Production &amp; FA'!L12</calculatedColumnFormula>
    </tableColumn>
    <tableColumn id="18" xr3:uid="{8954D47B-3BA4-4E5C-974F-82F8EB478D24}" name="AISC 2020E Guidance" dataDxfId="359" dataCellStyle="Comma">
      <calculatedColumnFormula>'Production &amp; FA'!M12</calculatedColumnFormula>
    </tableColumn>
    <tableColumn id="19" xr3:uid="{46C57D4B-1388-4CAF-B548-1610A54C4C61}" name="AISC Trend" dataDxfId="358" dataCellStyle="Comma">
      <calculatedColumnFormula>'Production &amp; FA'!N12</calculatedColumnFormula>
    </tableColumn>
    <tableColumn id="20" xr3:uid="{7B32149B-A327-4D42-9271-CE10CC3199E9}" name="2020 Margin" dataDxfId="357" dataCellStyle="Comma">
      <calculatedColumnFormula>'Production &amp; FA'!O12</calculatedColumnFormula>
    </tableColumn>
    <tableColumn id="21" xr3:uid="{F70339DC-211B-451F-8339-B77CA603F196}" name="Margin %" dataDxfId="356" dataCellStyle="Percent">
      <calculatedColumnFormula>'Production &amp; FA'!P12</calculatedColumnFormula>
    </tableColumn>
    <tableColumn id="22" xr3:uid="{71E2F28E-6265-48A1-94D9-E2830299ED7E}" name="2020 Ops CF" dataDxfId="355" dataCellStyle="Comma">
      <calculatedColumnFormula>'Production &amp; FA'!Q12</calculatedColumnFormula>
    </tableColumn>
    <tableColumn id="23" xr3:uid="{8F1D81A6-4626-414E-A05C-C67AC10995B6}" name="CFPS" dataDxfId="354" dataCellStyle="Comma">
      <calculatedColumnFormula>'Production &amp; FA'!R12</calculatedColumnFormula>
    </tableColumn>
    <tableColumn id="24" xr3:uid="{E26E1F91-5F06-496F-B4D2-40D87D4D811F}" name="Reserves (koz) Gold" dataDxfId="353" dataCellStyle="Comma">
      <calculatedColumnFormula>'Production &amp; FA'!S12</calculatedColumnFormula>
    </tableColumn>
    <tableColumn id="25" xr3:uid="{0D8843BB-9247-42C2-88E6-D6A3663CA62D}" name="Copper &amp; GEO" dataDxfId="352" dataCellStyle="Comma">
      <calculatedColumnFormula>'Production &amp; FA'!T12</calculatedColumnFormula>
    </tableColumn>
    <tableColumn id="26" xr3:uid="{8BAD5613-CF37-4CD8-AE85-151795B60C66}" name="2020 Ops CF-Copper" dataDxfId="351" dataCellStyle="Comma">
      <calculatedColumnFormula>'Production &amp; FA'!U12</calculatedColumnFormula>
    </tableColumn>
    <tableColumn id="27" xr3:uid="{C9A23452-6046-489F-84BB-C83753E17AFB}" name="Total" dataDxfId="350" dataCellStyle="Comma">
      <calculatedColumnFormula>'Production &amp; FA'!V12</calculatedColumnFormula>
    </tableColumn>
    <tableColumn id="28" xr3:uid="{B30F1830-82AB-4485-9046-B3B5C068D28A}" name="2020 P/CFPS" dataDxfId="349" dataCellStyle="Comma">
      <calculatedColumnFormula>'Production &amp; FA'!W12</calculatedColumnFormula>
    </tableColumn>
    <tableColumn id="29" xr3:uid="{78D3F692-D51D-47F0-ACB4-8572DB39E568}" name="2019 P/E" dataDxfId="348" dataCellStyle="Comma">
      <calculatedColumnFormula>'Production &amp; FA'!X12</calculatedColumnFormula>
    </tableColumn>
    <tableColumn id="30" xr3:uid="{D3DDCFF4-124A-47F5-96F0-ABC331830AB3}" name="2019 EPS" dataDxfId="347" dataCellStyle="Comma">
      <calculatedColumnFormula>'Production &amp; FA'!Y12</calculatedColumnFormula>
    </tableColumn>
    <tableColumn id="31" xr3:uid="{2CFC20B8-75D3-4A45-8347-7CDC44D17E40}" name="2020 P/E" dataDxfId="346" dataCellStyle="Comma">
      <calculatedColumnFormula>'Production &amp; FA'!Z12</calculatedColumnFormula>
    </tableColumn>
    <tableColumn id="32" xr3:uid="{B7C70158-913C-433C-B55B-EB81BF67EF75}" name="REV 3Yr Growth" dataDxfId="345" dataCellStyle="Percent">
      <calculatedColumnFormula>'Production &amp; FA'!AA12</calculatedColumnFormula>
    </tableColumn>
    <tableColumn id="33" xr3:uid="{0023349A-B8C7-46C9-947D-4080E2D499BA}" name="ROA% TTM " dataDxfId="344" dataCellStyle="Percent">
      <calculatedColumnFormula>'Production &amp; FA'!AB12</calculatedColumnFormula>
    </tableColumn>
    <tableColumn id="34" xr3:uid="{153B049D-CD40-4319-86C1-F1B04463D985}" name="ROE % TTM " dataDxfId="343" dataCellStyle="Percent">
      <calculatedColumnFormula>'Production &amp; FA'!AC12</calculatedColumnFormula>
    </tableColumn>
    <tableColumn id="35" xr3:uid="{F4FE74BD-C88D-4132-8EDE-01A5232C9349}" name="Net Margin% TTM" dataDxfId="342" dataCellStyle="Percent">
      <calculatedColumnFormula>'Production &amp; FA'!AD12</calculatedColumnFormula>
    </tableColumn>
    <tableColumn id="36" xr3:uid="{CA19F448-FE66-42BB-9653-3DF66DD6F248}" name="Current Ratio" dataDxfId="341" dataCellStyle="Comma">
      <calculatedColumnFormula>'Production &amp; FA'!AE12</calculatedColumnFormula>
    </tableColumn>
    <tableColumn id="37" xr3:uid="{96BCB485-DD0E-471A-A392-E3E4F0C5407F}" name="Cash Ratio" dataDxfId="340" dataCellStyle="Comma">
      <calculatedColumnFormula>'Production &amp; FA'!AF12</calculatedColumnFormula>
    </tableColumn>
    <tableColumn id="38" xr3:uid="{91D35216-64B1-4229-BFB3-511847460A5D}" name="Debt-Equity" dataDxfId="339" dataCellStyle="Comma">
      <calculatedColumnFormula>'Production &amp; FA'!AG12</calculatedColumnFormula>
    </tableColumn>
    <tableColumn id="39" xr3:uid="{75EEA239-91CE-4FBD-9D40-25C74BD74F4E}" name="Debt-Assest" dataDxfId="338" dataCellStyle="Comma">
      <calculatedColumnFormula>'Production &amp; FA'!AH12</calculatedColumnFormula>
    </tableColumn>
    <tableColumn id="40" xr3:uid="{2B3C967D-510E-47ED-814E-818E46572CC2}" name="Risk Rating" dataDxfId="337" dataCellStyle="Comma"/>
  </tableColumns>
  <tableStyleInfo name="TableStyleMedium1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B136E3D-D975-4AC8-B0BA-ADD560CF1C14}" name="Table26" displayName="Table26" ref="B1:C30" totalsRowShown="0" headerRowDxfId="14" dataDxfId="13">
  <autoFilter ref="B1:C30" xr:uid="{81EA52D8-BCA4-4A37-8497-CF95720B9A9C}"/>
  <tableColumns count="2">
    <tableColumn id="1" xr3:uid="{B9C9B6DA-95AE-4965-9F2C-289EAAD6A7C8}" name="Company" dataDxfId="12"/>
    <tableColumn id="2" xr3:uid="{A4BDECAA-5778-4511-960B-029B6BAAF312}" name="Risk" dataDxfId="1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FDD3EC8-45C1-4A1D-88D1-9FB098BCC6CF}" name="Table27" displayName="Table27" ref="I1:J30" totalsRowShown="0" headerRowDxfId="10" headerRowBorderDxfId="9" tableBorderDxfId="8">
  <autoFilter ref="I1:J30" xr:uid="{35EA60C0-FF1C-40AA-B576-FF962747041C}"/>
  <tableColumns count="2">
    <tableColumn id="1" xr3:uid="{C5B6D89E-BB62-4C5F-98DF-28E9578695A9}" name="Company" dataDxfId="7"/>
    <tableColumn id="2" xr3:uid="{ED14206B-A33E-4BEC-9C58-60E5FBA1A6EE}" name="Risk" dataDxfId="6">
      <calculatedColumnFormula>Table26[[#This Row],[Risk]]</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H5" dT="2020-04-04T16:34:10.57" personId="{047127C9-2624-40AE-9164-5865987FBFC5}" id="{141BC689-26D3-424E-909B-B7B0EF9018F1}">
    <text>Gold -&gt; 6.4 Moz / Total GEO  -&gt; 7.8 Moz</text>
  </threadedComment>
  <threadedComment ref="S8" dT="2020-04-06T02:52:32.78" personId="{047127C9-2624-40AE-9164-5865987FBFC5}" id="{5EC656C6-8513-485F-A6C4-DB5F9697FF79}">
    <text>Only Gold</text>
  </threadedComment>
  <threadedComment ref="T12" dT="2020-04-04T17:50:04.08" personId="{047127C9-2624-40AE-9164-5865987FBFC5}" id="{EF67B9CE-65E8-4AA8-ADC1-6BFB8F22AC9D}">
    <text>NO AISC on Copper</text>
  </threadedComment>
  <threadedComment ref="T12" dT="2020-04-04T17:50:25.73" personId="{047127C9-2624-40AE-9164-5865987FBFC5}" id="{7DCB7BDD-0FC8-4F41-AA3E-3C230B937850}" parentId="{EF67B9CE-65E8-4AA8-ADC1-6BFB8F22AC9D}">
    <text>Assume $2.3/lb</text>
  </threadedComment>
  <threadedComment ref="B15" dT="2020-04-04T17:14:23.25" personId="{047127C9-2624-40AE-9164-5865987FBFC5}" id="{7D658A52-D955-465A-AEAD-3CA8795998C4}">
    <text>Impressive growth from 2017</text>
  </threadedComment>
  <threadedComment ref="B24" dT="2020-04-04T23:41:00.43" personId="{047127C9-2624-40AE-9164-5865987FBFC5}" id="{635EBD58-D40F-4E0A-B8DC-49B28A401FE0}">
    <text>poor data</text>
  </threadedComment>
  <threadedComment ref="H24" dT="2020-04-04T23:38:59.98" personId="{047127C9-2624-40AE-9164-5865987FBFC5}" id="{66F1F3DB-AA09-403D-B390-04BA84084033}">
    <text>estimated</text>
  </threadedComment>
  <threadedComment ref="M25" dT="2020-04-05T07:26:42.55" personId="{047127C9-2624-40AE-9164-5865987FBFC5}" id="{A6C3D25E-A9C4-42C7-95C4-7FD44AF6FDD0}">
    <text>Assumption</text>
  </threadedComment>
  <threadedComment ref="B26" dT="2020-04-05T07:38:36.34" personId="{047127C9-2624-40AE-9164-5865987FBFC5}" id="{D7EC9351-731D-451F-9BCE-01766C550D44}">
    <text>Bought by Endeavour: Combined now Largest West African Gold Producer</text>
  </threadedComment>
  <threadedComment ref="S27" dT="2020-04-06T02:19:14.95" personId="{047127C9-2624-40AE-9164-5865987FBFC5}" id="{A0B98E6A-6E8C-4711-AA9E-0CDAB2CC387D}">
    <text>Resource</text>
  </threadedComment>
  <threadedComment ref="B31" dT="2020-04-05T23:54:38.22" personId="{047127C9-2624-40AE-9164-5865987FBFC5}" id="{877BD420-B112-4FA6-9B80-9D58B723EF8F}">
    <text>Wont report copper AISC</text>
  </threadedComment>
  <threadedComment ref="M32" dT="2020-04-06T00:07:28.84" personId="{047127C9-2624-40AE-9164-5865987FBFC5}" id="{EC1A92C6-9FCA-4303-BF11-BA5E411356BD}">
    <text>assumption. Not provided</text>
  </threadedComment>
  <threadedComment ref="S34" dT="2020-04-06T02:08:16.59" personId="{047127C9-2624-40AE-9164-5865987FBFC5}" id="{AC9BE27C-4127-49F1-9863-85426B1C863B}">
    <text>Resource</text>
  </threadedComment>
  <threadedComment ref="M38" dT="2020-04-06T01:30:31.39" personId="{047127C9-2624-40AE-9164-5865987FBFC5}" id="{833563AC-BDEA-486D-B91C-E3C148D0DFD1}">
    <text>Assumption</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FE6050-91B1-439F-B58D-65153053F3FD}">
  <we:reference id="wa104381181" version="2.0.0.0" store="en-US" storeType="OMEX"/>
  <we:alternateReferences>
    <we:reference id="wa104381181" version="2.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microsoft.com/office/2007/relationships/slicer" Target="../slicers/slicer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table" Target="../tables/table20.xml"/><Relationship Id="rId7" Type="http://schemas.openxmlformats.org/officeDocument/2006/relationships/comments" Target="../comments1.xml"/><Relationship Id="rId2" Type="http://schemas.openxmlformats.org/officeDocument/2006/relationships/table" Target="../tables/table19.xml"/><Relationship Id="rId1" Type="http://schemas.openxmlformats.org/officeDocument/2006/relationships/vmlDrawing" Target="../drawings/vmlDrawing1.vml"/><Relationship Id="rId6" Type="http://schemas.openxmlformats.org/officeDocument/2006/relationships/table" Target="../tables/table23.xml"/><Relationship Id="rId5" Type="http://schemas.openxmlformats.org/officeDocument/2006/relationships/table" Target="../tables/table22.xml"/><Relationship Id="rId4" Type="http://schemas.openxmlformats.org/officeDocument/2006/relationships/table" Target="../tables/table2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5.bin"/><Relationship Id="rId6" Type="http://schemas.openxmlformats.org/officeDocument/2006/relationships/table" Target="../tables/table29.xml"/><Relationship Id="rId5" Type="http://schemas.openxmlformats.org/officeDocument/2006/relationships/table" Target="../tables/table28.xml"/><Relationship Id="rId4" Type="http://schemas.openxmlformats.org/officeDocument/2006/relationships/table" Target="../tables/table2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table" Target="../tables/table33.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C187A-CDFD-4976-881B-A671094FD1CB}">
  <sheetPr codeName="Sheet1">
    <tabColor theme="8"/>
  </sheetPr>
  <dimension ref="A1:Z38"/>
  <sheetViews>
    <sheetView tabSelected="1" zoomScaleNormal="100" workbookViewId="0">
      <selection activeCell="D2" sqref="D2:Y2"/>
    </sheetView>
  </sheetViews>
  <sheetFormatPr defaultRowHeight="15" x14ac:dyDescent="0.25"/>
  <cols>
    <col min="1" max="1" width="2.85546875" style="1" customWidth="1"/>
    <col min="2" max="2" width="14.42578125" style="1" customWidth="1"/>
    <col min="3" max="3" width="31.42578125" style="1" bestFit="1" customWidth="1"/>
    <col min="4" max="4" width="18" style="1" customWidth="1"/>
    <col min="5" max="16384" width="9.140625" style="1"/>
  </cols>
  <sheetData>
    <row r="1" spans="2:26" x14ac:dyDescent="0.25">
      <c r="B1" s="148" t="s">
        <v>315</v>
      </c>
      <c r="C1" s="148"/>
      <c r="D1" s="84"/>
      <c r="E1" s="84"/>
      <c r="F1" s="84"/>
      <c r="G1" s="84"/>
      <c r="H1" s="84"/>
      <c r="I1" s="84"/>
      <c r="J1" s="84"/>
      <c r="K1" s="84"/>
      <c r="L1" s="84"/>
      <c r="M1" s="84"/>
      <c r="N1" s="84"/>
      <c r="O1" s="84"/>
      <c r="P1" s="84"/>
      <c r="Q1" s="84"/>
      <c r="R1" s="84"/>
      <c r="S1" s="84"/>
      <c r="T1" s="84"/>
      <c r="U1" s="84"/>
      <c r="V1" s="84"/>
      <c r="W1" s="84"/>
      <c r="X1" s="149">
        <f ca="1">TODAY()</f>
        <v>43936</v>
      </c>
      <c r="Y1" s="149"/>
      <c r="Z1" s="149"/>
    </row>
    <row r="2" spans="2:26" ht="33.75" customHeight="1" x14ac:dyDescent="0.25">
      <c r="B2" s="162" t="s">
        <v>313</v>
      </c>
      <c r="C2" s="163"/>
      <c r="D2" s="164" t="s">
        <v>316</v>
      </c>
      <c r="E2" s="165"/>
      <c r="F2" s="165"/>
      <c r="G2" s="165"/>
      <c r="H2" s="165"/>
      <c r="I2" s="165"/>
      <c r="J2" s="165"/>
      <c r="K2" s="165"/>
      <c r="L2" s="165"/>
      <c r="M2" s="165"/>
      <c r="N2" s="165"/>
      <c r="O2" s="165"/>
      <c r="P2" s="165"/>
      <c r="Q2" s="165"/>
      <c r="R2" s="165"/>
      <c r="S2" s="165"/>
      <c r="T2" s="165"/>
      <c r="U2" s="165"/>
      <c r="V2" s="165"/>
      <c r="W2" s="165"/>
      <c r="X2" s="165"/>
      <c r="Y2" s="165"/>
      <c r="Z2" s="157"/>
    </row>
    <row r="3" spans="2:26" ht="30" customHeight="1" x14ac:dyDescent="0.25">
      <c r="B3" s="158" t="s">
        <v>266</v>
      </c>
      <c r="C3" s="159"/>
    </row>
    <row r="4" spans="2:26" x14ac:dyDescent="0.25">
      <c r="B4" s="85" t="s">
        <v>268</v>
      </c>
      <c r="C4" s="87" t="s">
        <v>269</v>
      </c>
      <c r="D4" s="86"/>
      <c r="E4" s="86"/>
      <c r="F4" s="86"/>
      <c r="G4" s="86"/>
      <c r="H4" s="86"/>
      <c r="I4" s="86"/>
      <c r="J4" s="86"/>
    </row>
    <row r="5" spans="2:26" x14ac:dyDescent="0.25">
      <c r="B5" s="85" t="s">
        <v>271</v>
      </c>
      <c r="C5" s="87" t="s">
        <v>272</v>
      </c>
      <c r="D5" s="86"/>
      <c r="E5" s="86"/>
      <c r="F5" s="86"/>
      <c r="G5" s="86"/>
      <c r="H5" s="86"/>
      <c r="I5" s="86"/>
      <c r="J5" s="86"/>
    </row>
    <row r="6" spans="2:26" x14ac:dyDescent="0.25">
      <c r="B6" s="85" t="s">
        <v>270</v>
      </c>
      <c r="C6" s="87" t="s">
        <v>157</v>
      </c>
      <c r="D6" s="86"/>
      <c r="E6" s="86"/>
      <c r="F6" s="86"/>
      <c r="G6" s="86"/>
      <c r="H6" s="86"/>
      <c r="I6" s="86"/>
      <c r="J6" s="86"/>
    </row>
    <row r="7" spans="2:26" x14ac:dyDescent="0.25">
      <c r="B7" s="85" t="s">
        <v>77</v>
      </c>
      <c r="C7" s="87" t="s">
        <v>277</v>
      </c>
      <c r="D7" s="86"/>
      <c r="E7" s="86"/>
      <c r="F7" s="86"/>
      <c r="G7" s="86"/>
      <c r="H7" s="86"/>
      <c r="I7" s="86"/>
      <c r="J7" s="86"/>
    </row>
    <row r="8" spans="2:26" x14ac:dyDescent="0.25">
      <c r="B8" s="85" t="s">
        <v>296</v>
      </c>
      <c r="C8" s="87" t="s">
        <v>297</v>
      </c>
      <c r="D8" s="86"/>
      <c r="F8" s="86"/>
      <c r="G8" s="86"/>
      <c r="H8" s="86"/>
      <c r="I8" s="86"/>
      <c r="J8" s="86"/>
    </row>
    <row r="9" spans="2:26" x14ac:dyDescent="0.25">
      <c r="B9" s="85" t="s">
        <v>279</v>
      </c>
      <c r="C9" s="87" t="s">
        <v>280</v>
      </c>
      <c r="D9" s="86"/>
      <c r="F9" s="86"/>
      <c r="G9" s="86"/>
      <c r="H9" s="86"/>
      <c r="I9" s="86"/>
      <c r="J9" s="86"/>
    </row>
    <row r="10" spans="2:26" x14ac:dyDescent="0.25">
      <c r="B10" s="85" t="s">
        <v>267</v>
      </c>
      <c r="C10" s="87" t="s">
        <v>274</v>
      </c>
      <c r="D10" s="86"/>
      <c r="F10" s="86"/>
      <c r="G10" s="86"/>
      <c r="H10" s="86"/>
      <c r="I10" s="86"/>
      <c r="J10" s="86"/>
    </row>
    <row r="11" spans="2:26" x14ac:dyDescent="0.25">
      <c r="B11" s="88" t="s">
        <v>300</v>
      </c>
      <c r="C11" s="87" t="s">
        <v>301</v>
      </c>
      <c r="D11" s="86"/>
      <c r="F11" s="86"/>
      <c r="G11" s="86"/>
      <c r="H11" s="86"/>
      <c r="I11" s="86"/>
      <c r="J11" s="86"/>
    </row>
    <row r="12" spans="2:26" x14ac:dyDescent="0.25">
      <c r="B12" s="85" t="s">
        <v>275</v>
      </c>
      <c r="C12" s="87" t="s">
        <v>276</v>
      </c>
      <c r="D12" s="86"/>
      <c r="F12" s="86"/>
      <c r="G12" s="86"/>
      <c r="H12" s="86"/>
      <c r="I12" s="86"/>
      <c r="J12" s="86"/>
    </row>
    <row r="13" spans="2:26" x14ac:dyDescent="0.25">
      <c r="B13" s="85" t="s">
        <v>314</v>
      </c>
      <c r="C13" s="87" t="s">
        <v>278</v>
      </c>
      <c r="D13" s="86"/>
      <c r="F13" s="86"/>
      <c r="G13" s="86"/>
      <c r="H13" s="86"/>
      <c r="I13" s="86"/>
      <c r="J13" s="86"/>
    </row>
    <row r="14" spans="2:26" x14ac:dyDescent="0.25">
      <c r="B14" s="85" t="s">
        <v>281</v>
      </c>
      <c r="C14" s="87" t="s">
        <v>282</v>
      </c>
      <c r="D14" s="86"/>
      <c r="F14" s="86"/>
      <c r="G14" s="86"/>
      <c r="H14" s="86"/>
      <c r="I14" s="86"/>
      <c r="J14" s="86"/>
    </row>
    <row r="15" spans="2:26" x14ac:dyDescent="0.25">
      <c r="B15" s="85" t="s">
        <v>283</v>
      </c>
      <c r="C15" s="87" t="s">
        <v>284</v>
      </c>
      <c r="D15" s="86"/>
      <c r="F15" s="86"/>
      <c r="G15" s="86"/>
      <c r="H15" s="86"/>
      <c r="I15" s="86"/>
      <c r="J15" s="86"/>
    </row>
    <row r="16" spans="2:26" x14ac:dyDescent="0.25">
      <c r="B16" s="85" t="s">
        <v>285</v>
      </c>
      <c r="C16" s="87" t="s">
        <v>286</v>
      </c>
      <c r="D16" s="86"/>
      <c r="F16" s="86"/>
      <c r="G16" s="86"/>
      <c r="H16" s="86"/>
      <c r="I16" s="86"/>
      <c r="J16" s="86"/>
    </row>
    <row r="17" spans="1:10" x14ac:dyDescent="0.25">
      <c r="B17" s="88" t="s">
        <v>287</v>
      </c>
      <c r="C17" s="87" t="s">
        <v>288</v>
      </c>
      <c r="D17" s="86"/>
      <c r="F17" s="86"/>
      <c r="G17" s="86"/>
      <c r="H17" s="86"/>
      <c r="I17" s="86"/>
      <c r="J17" s="86"/>
    </row>
    <row r="18" spans="1:10" x14ac:dyDescent="0.25">
      <c r="B18" s="85" t="s">
        <v>78</v>
      </c>
      <c r="C18" s="87" t="s">
        <v>273</v>
      </c>
      <c r="D18" s="86"/>
      <c r="F18" s="86"/>
      <c r="G18" s="86"/>
      <c r="H18" s="86"/>
      <c r="I18" s="86"/>
      <c r="J18" s="86"/>
    </row>
    <row r="19" spans="1:10" x14ac:dyDescent="0.25">
      <c r="B19" s="88" t="s">
        <v>289</v>
      </c>
      <c r="C19" s="87" t="s">
        <v>290</v>
      </c>
      <c r="D19" s="86"/>
      <c r="F19" s="86"/>
      <c r="G19" s="86"/>
      <c r="H19" s="86"/>
      <c r="I19" s="86"/>
      <c r="J19" s="86"/>
    </row>
    <row r="20" spans="1:10" x14ac:dyDescent="0.25">
      <c r="B20" s="88"/>
      <c r="C20" s="87"/>
      <c r="D20" s="86"/>
      <c r="F20" s="86"/>
      <c r="G20" s="86"/>
      <c r="H20" s="86"/>
      <c r="I20" s="86"/>
      <c r="J20" s="86"/>
    </row>
    <row r="21" spans="1:10" x14ac:dyDescent="0.25">
      <c r="B21" s="88"/>
      <c r="C21" s="87"/>
      <c r="D21" s="86"/>
      <c r="F21" s="86"/>
      <c r="G21" s="86"/>
      <c r="H21" s="86"/>
      <c r="I21" s="86"/>
      <c r="J21" s="86"/>
    </row>
    <row r="22" spans="1:10" x14ac:dyDescent="0.25">
      <c r="B22" s="88"/>
      <c r="C22" s="87"/>
      <c r="D22" s="86"/>
      <c r="F22" s="86"/>
      <c r="G22" s="86"/>
      <c r="H22" s="86"/>
      <c r="I22" s="86"/>
      <c r="J22" s="86"/>
    </row>
    <row r="23" spans="1:10" x14ac:dyDescent="0.25">
      <c r="B23" s="85"/>
      <c r="C23" s="87"/>
      <c r="D23" s="86"/>
      <c r="F23" s="86"/>
      <c r="G23" s="86"/>
      <c r="H23" s="86"/>
      <c r="I23" s="86"/>
      <c r="J23" s="86"/>
    </row>
    <row r="24" spans="1:10" x14ac:dyDescent="0.25">
      <c r="B24" s="85"/>
      <c r="C24" s="87"/>
      <c r="D24" s="86"/>
      <c r="F24" s="86"/>
      <c r="G24" s="86"/>
      <c r="H24" s="86"/>
      <c r="I24" s="86"/>
      <c r="J24" s="86"/>
    </row>
    <row r="25" spans="1:10" x14ac:dyDescent="0.25">
      <c r="B25" s="85"/>
      <c r="C25" s="87"/>
      <c r="D25" s="86"/>
      <c r="F25" s="86"/>
      <c r="G25" s="86"/>
      <c r="H25" s="86"/>
      <c r="I25" s="86"/>
      <c r="J25" s="86"/>
    </row>
    <row r="26" spans="1:10" x14ac:dyDescent="0.25">
      <c r="B26" s="85"/>
      <c r="C26" s="87"/>
      <c r="D26" s="86"/>
      <c r="F26" s="86"/>
      <c r="G26" s="86"/>
      <c r="H26" s="86"/>
      <c r="I26" s="86"/>
      <c r="J26" s="86"/>
    </row>
    <row r="27" spans="1:10" x14ac:dyDescent="0.25">
      <c r="B27" s="85"/>
      <c r="C27" s="87"/>
      <c r="D27" s="86"/>
      <c r="F27" s="86"/>
      <c r="G27" s="86"/>
      <c r="H27" s="86"/>
      <c r="I27" s="86"/>
      <c r="J27" s="86"/>
    </row>
    <row r="28" spans="1:10" x14ac:dyDescent="0.25">
      <c r="B28" s="85"/>
      <c r="C28" s="87"/>
      <c r="D28" s="86"/>
      <c r="F28" s="86"/>
      <c r="G28" s="86"/>
      <c r="H28" s="86"/>
      <c r="I28" s="86"/>
      <c r="J28" s="86"/>
    </row>
    <row r="29" spans="1:10" x14ac:dyDescent="0.25">
      <c r="B29" s="85"/>
      <c r="C29" s="87"/>
      <c r="D29" s="86"/>
      <c r="F29" s="86"/>
      <c r="G29" s="86"/>
      <c r="H29" s="86"/>
      <c r="I29" s="86"/>
      <c r="J29" s="86"/>
    </row>
    <row r="30" spans="1:10" x14ac:dyDescent="0.25">
      <c r="B30" s="85"/>
      <c r="C30" s="87"/>
      <c r="D30" s="86"/>
      <c r="E30" s="86"/>
      <c r="F30" s="86"/>
      <c r="G30" s="86"/>
      <c r="H30" s="86"/>
      <c r="I30" s="86"/>
      <c r="J30" s="86"/>
    </row>
    <row r="31" spans="1:10" x14ac:dyDescent="0.25">
      <c r="B31" s="85"/>
      <c r="C31" s="87"/>
      <c r="D31" s="86"/>
      <c r="E31" s="86"/>
      <c r="F31" s="86"/>
      <c r="G31" s="86"/>
      <c r="H31" s="86"/>
      <c r="I31" s="86"/>
      <c r="J31" s="86"/>
    </row>
    <row r="32" spans="1:10" x14ac:dyDescent="0.25">
      <c r="A32" s="86"/>
      <c r="B32" s="85"/>
      <c r="C32" s="87"/>
      <c r="D32" s="86"/>
      <c r="E32" s="86"/>
      <c r="F32" s="86"/>
      <c r="G32" s="86"/>
      <c r="H32" s="86"/>
      <c r="I32" s="86"/>
      <c r="J32" s="86"/>
    </row>
    <row r="33" spans="1:10" x14ac:dyDescent="0.25">
      <c r="A33" s="86"/>
      <c r="B33" s="160"/>
      <c r="C33" s="161"/>
      <c r="D33" s="86"/>
      <c r="E33" s="86"/>
      <c r="F33" s="86"/>
      <c r="G33" s="86"/>
      <c r="H33" s="86"/>
      <c r="I33" s="86"/>
      <c r="J33" s="86"/>
    </row>
    <row r="34" spans="1:10" x14ac:dyDescent="0.25">
      <c r="B34" s="156"/>
      <c r="C34" s="156"/>
      <c r="F34" s="86"/>
      <c r="G34" s="86"/>
      <c r="H34" s="86"/>
      <c r="I34" s="86"/>
      <c r="J34" s="86"/>
    </row>
    <row r="35" spans="1:10" x14ac:dyDescent="0.25">
      <c r="B35" s="156"/>
      <c r="C35" s="156"/>
      <c r="F35" s="86"/>
      <c r="G35" s="86"/>
      <c r="H35" s="86"/>
      <c r="I35" s="86"/>
      <c r="J35" s="86"/>
    </row>
    <row r="36" spans="1:10" x14ac:dyDescent="0.25">
      <c r="B36" s="156"/>
      <c r="C36" s="156"/>
      <c r="F36" s="86"/>
      <c r="G36" s="86"/>
      <c r="H36" s="86"/>
      <c r="I36" s="86"/>
      <c r="J36" s="86"/>
    </row>
    <row r="37" spans="1:10" x14ac:dyDescent="0.25">
      <c r="B37" s="156"/>
      <c r="C37" s="156"/>
      <c r="F37" s="86"/>
      <c r="G37" s="86"/>
      <c r="H37" s="86"/>
      <c r="I37" s="86"/>
      <c r="J37" s="86"/>
    </row>
    <row r="38" spans="1:10" x14ac:dyDescent="0.25">
      <c r="B38" s="156"/>
      <c r="C38" s="156"/>
    </row>
  </sheetData>
  <sortState xmlns:xlrd2="http://schemas.microsoft.com/office/spreadsheetml/2017/richdata2" ref="B5:C19">
    <sortCondition ref="B4"/>
  </sortState>
  <mergeCells count="4">
    <mergeCell ref="B1:C1"/>
    <mergeCell ref="X1:Z1"/>
    <mergeCell ref="B2:C2"/>
    <mergeCell ref="D2:Y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76E4-3039-454E-9FC7-975C2753877C}">
  <sheetPr codeName="Sheet2">
    <tabColor theme="8"/>
  </sheetPr>
  <dimension ref="B1:AA42"/>
  <sheetViews>
    <sheetView zoomScaleNormal="100" workbookViewId="0">
      <selection activeCell="B5" sqref="B5"/>
    </sheetView>
  </sheetViews>
  <sheetFormatPr defaultRowHeight="15" x14ac:dyDescent="0.25"/>
  <cols>
    <col min="1" max="1" width="2.85546875" style="91" customWidth="1"/>
    <col min="2" max="2" width="28.85546875" style="105" customWidth="1"/>
    <col min="3" max="3" width="15.85546875" style="105" bestFit="1" customWidth="1"/>
    <col min="4" max="4" width="9.140625" style="91" bestFit="1" customWidth="1"/>
    <col min="5" max="8" width="9.140625" style="91" customWidth="1"/>
    <col min="9" max="16384" width="9.140625" style="91"/>
  </cols>
  <sheetData>
    <row r="1" spans="2:27" x14ac:dyDescent="0.25">
      <c r="B1" s="150" t="s">
        <v>307</v>
      </c>
      <c r="C1" s="150"/>
      <c r="D1" s="150"/>
      <c r="E1" s="150"/>
      <c r="F1" s="150"/>
      <c r="G1" s="151"/>
      <c r="H1" s="151"/>
      <c r="I1" s="92"/>
      <c r="J1" s="92"/>
      <c r="K1" s="92"/>
      <c r="L1" s="92"/>
      <c r="M1" s="92"/>
      <c r="N1" s="92"/>
      <c r="O1" s="92"/>
      <c r="P1" s="92"/>
      <c r="Q1" s="92"/>
      <c r="R1" s="92"/>
      <c r="S1" s="92"/>
      <c r="T1" s="92"/>
      <c r="U1" s="92"/>
      <c r="V1" s="92"/>
      <c r="W1" s="92"/>
      <c r="X1" s="92"/>
      <c r="Y1" s="149">
        <f ca="1">TODAY()</f>
        <v>43936</v>
      </c>
      <c r="Z1" s="149"/>
      <c r="AA1" s="149"/>
    </row>
    <row r="2" spans="2:27" x14ac:dyDescent="0.25">
      <c r="B2" s="118" t="s">
        <v>292</v>
      </c>
      <c r="C2" s="130" t="s">
        <v>293</v>
      </c>
      <c r="D2" s="131" t="s">
        <v>294</v>
      </c>
      <c r="E2" s="119"/>
      <c r="F2" s="120"/>
      <c r="G2" s="105"/>
      <c r="H2" s="105"/>
      <c r="I2" s="94"/>
    </row>
    <row r="3" spans="2:27" ht="22.5" x14ac:dyDescent="0.25">
      <c r="B3" s="121" t="s">
        <v>295</v>
      </c>
      <c r="C3" s="106" t="s">
        <v>14</v>
      </c>
      <c r="D3" s="107">
        <f>VLOOKUP(C3,Table30[],2,FALSE)</f>
        <v>2.705148554861851</v>
      </c>
      <c r="E3" s="122"/>
      <c r="F3" s="123"/>
      <c r="G3" s="105"/>
      <c r="H3" s="105"/>
      <c r="I3" s="94"/>
    </row>
    <row r="4" spans="2:27" x14ac:dyDescent="0.25">
      <c r="B4" s="126" t="s">
        <v>75</v>
      </c>
      <c r="C4" s="103" t="s">
        <v>95</v>
      </c>
      <c r="D4" s="94"/>
      <c r="E4" s="94"/>
      <c r="F4" s="95"/>
      <c r="I4" s="94"/>
    </row>
    <row r="5" spans="2:27" x14ac:dyDescent="0.25">
      <c r="B5" s="125" t="e" cm="1" vm="1">
        <f t="array" ref="B5:B12">_xlfn.UNIQUE(_xlfn._xlws.FILTER(Table33[Combined],Table33[Combined]&lt;&gt;""))</f>
        <v>#VALUE!</v>
      </c>
      <c r="C5" s="102" t="str">
        <f>IFERROR(VLOOKUP(B5,Table6[],2,FALSE),"")</f>
        <v>Small Cap Senior</v>
      </c>
      <c r="D5" s="93"/>
      <c r="E5" s="94"/>
      <c r="F5" s="95"/>
      <c r="I5" s="94"/>
    </row>
    <row r="6" spans="2:27" x14ac:dyDescent="0.25">
      <c r="B6" s="126" t="e" vm="2">
        <v>#VALUE!</v>
      </c>
      <c r="C6" s="102" t="str">
        <f>IFERROR(VLOOKUP(B6,Table6[],2,FALSE),"")</f>
        <v>Large Cap Senior</v>
      </c>
      <c r="D6" s="93"/>
      <c r="E6" s="93"/>
      <c r="F6" s="127"/>
      <c r="G6" s="93"/>
      <c r="H6" s="93"/>
      <c r="I6" s="94"/>
    </row>
    <row r="7" spans="2:27" x14ac:dyDescent="0.25">
      <c r="B7" s="126" t="e" vm="3">
        <v>#VALUE!</v>
      </c>
      <c r="C7" s="102" t="str">
        <f>IFERROR(VLOOKUP(B7,Table6[],2,FALSE),"")</f>
        <v>Small Cap Senior</v>
      </c>
      <c r="D7" s="93"/>
      <c r="E7" s="93"/>
      <c r="F7" s="127"/>
      <c r="G7" s="93"/>
      <c r="H7" s="93"/>
      <c r="I7" s="94"/>
    </row>
    <row r="8" spans="2:27" x14ac:dyDescent="0.25">
      <c r="B8" s="126" t="e" vm="4">
        <v>#VALUE!</v>
      </c>
      <c r="C8" s="102" t="str">
        <f>IFERROR(VLOOKUP(B8,Table6[],2,FALSE),"")</f>
        <v>Small Cap Senior</v>
      </c>
      <c r="D8" s="93"/>
      <c r="E8" s="93"/>
      <c r="F8" s="127"/>
      <c r="G8" s="93"/>
      <c r="H8" s="93"/>
      <c r="I8" s="94"/>
    </row>
    <row r="9" spans="2:27" x14ac:dyDescent="0.25">
      <c r="B9" s="126" t="e" vm="5">
        <v>#VALUE!</v>
      </c>
      <c r="C9" s="102" t="str">
        <f>IFERROR(VLOOKUP(B9,Table6[],2,FALSE),"")</f>
        <v>Mid Cap Senior</v>
      </c>
      <c r="D9" s="93"/>
      <c r="E9" s="93"/>
      <c r="F9" s="127"/>
      <c r="G9" s="93"/>
      <c r="H9" s="93"/>
      <c r="I9" s="94"/>
    </row>
    <row r="10" spans="2:27" x14ac:dyDescent="0.25">
      <c r="B10" s="126" t="e" vm="6">
        <v>#VALUE!</v>
      </c>
      <c r="C10" s="102" t="str">
        <f>IFERROR(VLOOKUP(B10,Table6[],2,FALSE),"")</f>
        <v>Mid Cap Senior</v>
      </c>
      <c r="D10" s="93"/>
      <c r="E10" s="93"/>
      <c r="F10" s="127"/>
      <c r="G10" s="93"/>
      <c r="H10" s="93"/>
      <c r="I10" s="94"/>
    </row>
    <row r="11" spans="2:27" x14ac:dyDescent="0.25">
      <c r="B11" s="126" t="e" vm="7">
        <v>#VALUE!</v>
      </c>
      <c r="C11" s="102" t="str">
        <f>IFERROR(VLOOKUP(B11,Table6[],2,FALSE),"")</f>
        <v>Mid Cap Senior</v>
      </c>
      <c r="D11" s="93"/>
      <c r="E11" s="93"/>
      <c r="F11" s="127"/>
      <c r="G11" s="93"/>
      <c r="H11" s="93"/>
      <c r="I11" s="94"/>
    </row>
    <row r="12" spans="2:27" x14ac:dyDescent="0.25">
      <c r="B12" s="126" t="e" vm="8">
        <v>#VALUE!</v>
      </c>
      <c r="C12" s="102" t="str">
        <f>IFERROR(VLOOKUP(B12,Table6[],2,FALSE),"")</f>
        <v>Large Cap Senior</v>
      </c>
      <c r="D12" s="93"/>
      <c r="E12" s="93"/>
      <c r="F12" s="127"/>
      <c r="G12" s="93"/>
      <c r="H12" s="93"/>
      <c r="I12" s="94"/>
    </row>
    <row r="13" spans="2:27" x14ac:dyDescent="0.25">
      <c r="B13" s="126"/>
      <c r="C13" s="102" t="str">
        <f>IFERROR(VLOOKUP(B13,Table6[],2,FALSE),"")</f>
        <v/>
      </c>
      <c r="D13" s="93"/>
      <c r="E13" s="93"/>
      <c r="F13" s="127"/>
      <c r="G13" s="93"/>
      <c r="H13" s="93"/>
      <c r="I13" s="94"/>
    </row>
    <row r="14" spans="2:27" x14ac:dyDescent="0.25">
      <c r="B14" s="126"/>
      <c r="C14" s="102" t="str">
        <f>IFERROR(VLOOKUP(B14,Table6[],2,FALSE),"")</f>
        <v/>
      </c>
      <c r="D14" s="93"/>
      <c r="E14" s="93"/>
      <c r="F14" s="127"/>
      <c r="G14" s="93"/>
      <c r="H14" s="93"/>
      <c r="I14" s="94"/>
    </row>
    <row r="15" spans="2:27" x14ac:dyDescent="0.25">
      <c r="B15" s="126"/>
      <c r="C15" s="102" t="str">
        <f>IFERROR(VLOOKUP(B15,Table6[],2,FALSE),"")</f>
        <v/>
      </c>
      <c r="D15" s="93"/>
      <c r="E15" s="93"/>
      <c r="F15" s="127"/>
      <c r="G15" s="93"/>
      <c r="H15" s="93"/>
      <c r="I15" s="94"/>
    </row>
    <row r="16" spans="2:27" x14ac:dyDescent="0.25">
      <c r="B16" s="126"/>
      <c r="C16" s="102" t="str">
        <f>IFERROR(VLOOKUP(B16,Table6[],2,FALSE),"")</f>
        <v/>
      </c>
      <c r="D16" s="93"/>
      <c r="E16" s="93"/>
      <c r="F16" s="127"/>
      <c r="G16" s="93"/>
      <c r="H16" s="93"/>
      <c r="I16" s="94"/>
    </row>
    <row r="17" spans="2:9" x14ac:dyDescent="0.25">
      <c r="B17" s="126"/>
      <c r="C17" s="102" t="str">
        <f>IFERROR(VLOOKUP(B17,Table6[],2,FALSE),"")</f>
        <v/>
      </c>
      <c r="D17" s="93"/>
      <c r="E17" s="93"/>
      <c r="F17" s="127"/>
      <c r="G17" s="93"/>
      <c r="H17" s="93"/>
      <c r="I17" s="94"/>
    </row>
    <row r="18" spans="2:9" x14ac:dyDescent="0.25">
      <c r="B18" s="126"/>
      <c r="C18" s="102" t="str">
        <f>IFERROR(VLOOKUP(B18,Table6[],2,FALSE),"")</f>
        <v/>
      </c>
      <c r="D18" s="93"/>
      <c r="E18" s="93"/>
      <c r="F18" s="127"/>
      <c r="G18" s="93"/>
      <c r="H18" s="93"/>
      <c r="I18" s="94"/>
    </row>
    <row r="19" spans="2:9" x14ac:dyDescent="0.25">
      <c r="B19" s="126"/>
      <c r="C19" s="102" t="str">
        <f>IFERROR(VLOOKUP(B19,Table6[],2,FALSE),"")</f>
        <v/>
      </c>
      <c r="D19" s="93"/>
      <c r="E19" s="93"/>
      <c r="F19" s="127"/>
      <c r="G19" s="93"/>
      <c r="H19" s="93"/>
      <c r="I19" s="94"/>
    </row>
    <row r="20" spans="2:9" x14ac:dyDescent="0.25">
      <c r="B20" s="126"/>
      <c r="C20" s="102" t="str">
        <f>IFERROR(VLOOKUP(B20,Table6[],2,FALSE),"")</f>
        <v/>
      </c>
      <c r="D20" s="93"/>
      <c r="E20" s="93"/>
      <c r="F20" s="127"/>
      <c r="G20" s="93"/>
      <c r="H20" s="93"/>
      <c r="I20" s="94"/>
    </row>
    <row r="21" spans="2:9" x14ac:dyDescent="0.25">
      <c r="B21" s="126"/>
      <c r="C21" s="102" t="str">
        <f>IFERROR(VLOOKUP(B21,Table6[],2,FALSE),"")</f>
        <v/>
      </c>
      <c r="D21" s="93"/>
      <c r="E21" s="93"/>
      <c r="F21" s="127"/>
      <c r="G21" s="93"/>
      <c r="H21" s="93"/>
      <c r="I21" s="94"/>
    </row>
    <row r="22" spans="2:9" x14ac:dyDescent="0.25">
      <c r="B22" s="126"/>
      <c r="C22" s="102" t="str">
        <f>IFERROR(VLOOKUP(B22,Table6[],2,FALSE),"")</f>
        <v/>
      </c>
      <c r="D22" s="93"/>
      <c r="E22" s="93"/>
      <c r="F22" s="127"/>
      <c r="G22" s="93"/>
      <c r="H22" s="93"/>
      <c r="I22" s="94"/>
    </row>
    <row r="23" spans="2:9" x14ac:dyDescent="0.25">
      <c r="B23" s="126"/>
      <c r="C23" s="102" t="str">
        <f>IFERROR(VLOOKUP(B23,Table6[],2,FALSE),"")</f>
        <v/>
      </c>
      <c r="D23" s="93"/>
      <c r="E23" s="93"/>
      <c r="F23" s="127"/>
      <c r="G23" s="93"/>
      <c r="H23" s="93"/>
      <c r="I23" s="94"/>
    </row>
    <row r="24" spans="2:9" x14ac:dyDescent="0.25">
      <c r="B24" s="126"/>
      <c r="C24" s="102" t="str">
        <f>IFERROR(VLOOKUP(B24,Table6[],2,FALSE),"")</f>
        <v/>
      </c>
      <c r="D24" s="93"/>
      <c r="E24" s="93"/>
      <c r="F24" s="127"/>
      <c r="G24" s="93"/>
      <c r="H24" s="93"/>
      <c r="I24" s="94"/>
    </row>
    <row r="25" spans="2:9" x14ac:dyDescent="0.25">
      <c r="B25" s="126"/>
      <c r="C25" s="102" t="str">
        <f>IFERROR(VLOOKUP(B25,Table6[],2,FALSE),"")</f>
        <v/>
      </c>
      <c r="D25" s="93"/>
      <c r="E25" s="93"/>
      <c r="F25" s="127"/>
      <c r="G25" s="93"/>
      <c r="H25" s="93"/>
      <c r="I25" s="94"/>
    </row>
    <row r="26" spans="2:9" x14ac:dyDescent="0.25">
      <c r="B26" s="126"/>
      <c r="C26" s="102" t="str">
        <f>IFERROR(VLOOKUP(B26,Table6[],2,FALSE),"")</f>
        <v/>
      </c>
      <c r="D26" s="93"/>
      <c r="E26" s="93"/>
      <c r="F26" s="127"/>
      <c r="G26" s="93"/>
      <c r="H26" s="93"/>
      <c r="I26" s="94"/>
    </row>
    <row r="27" spans="2:9" x14ac:dyDescent="0.25">
      <c r="B27" s="126"/>
      <c r="C27" s="102" t="str">
        <f>IFERROR(VLOOKUP(B27,Table6[],2,FALSE),"")</f>
        <v/>
      </c>
      <c r="D27" s="93"/>
      <c r="E27" s="93"/>
      <c r="F27" s="127"/>
      <c r="G27" s="93"/>
      <c r="H27" s="93"/>
      <c r="I27" s="94"/>
    </row>
    <row r="28" spans="2:9" x14ac:dyDescent="0.25">
      <c r="B28" s="126"/>
      <c r="C28" s="102" t="str">
        <f>IFERROR(VLOOKUP(B28,Table6[],2,FALSE),"")</f>
        <v/>
      </c>
      <c r="D28" s="93"/>
      <c r="E28" s="93"/>
      <c r="F28" s="127"/>
      <c r="G28" s="93"/>
      <c r="H28" s="93"/>
      <c r="I28" s="94"/>
    </row>
    <row r="29" spans="2:9" x14ac:dyDescent="0.25">
      <c r="B29" s="126"/>
      <c r="C29" s="102" t="str">
        <f>IFERROR(VLOOKUP(B29,Table6[],2,FALSE),"")</f>
        <v/>
      </c>
      <c r="D29" s="93"/>
      <c r="E29" s="93"/>
      <c r="F29" s="127"/>
      <c r="G29" s="93"/>
      <c r="H29" s="93"/>
      <c r="I29" s="94"/>
    </row>
    <row r="30" spans="2:9" x14ac:dyDescent="0.25">
      <c r="B30" s="126"/>
      <c r="C30" s="102" t="str">
        <f>IFERROR(VLOOKUP(B30,Table6[],2,FALSE),"")</f>
        <v/>
      </c>
      <c r="D30" s="93"/>
      <c r="E30" s="93"/>
      <c r="F30" s="127"/>
      <c r="G30" s="93"/>
      <c r="H30" s="93"/>
      <c r="I30" s="94"/>
    </row>
    <row r="31" spans="2:9" x14ac:dyDescent="0.25">
      <c r="B31" s="126"/>
      <c r="C31" s="102" t="str">
        <f>IFERROR(VLOOKUP(B31,Table6[],2,FALSE),"")</f>
        <v/>
      </c>
      <c r="D31" s="93"/>
      <c r="E31" s="93"/>
      <c r="F31" s="127"/>
      <c r="G31" s="93"/>
      <c r="H31" s="93"/>
      <c r="I31" s="94"/>
    </row>
    <row r="32" spans="2:9" x14ac:dyDescent="0.25">
      <c r="B32" s="126"/>
      <c r="C32" s="102" t="str">
        <f>IFERROR(VLOOKUP(B32,Table6[],2,FALSE),"")</f>
        <v/>
      </c>
      <c r="D32" s="93"/>
      <c r="E32" s="93"/>
      <c r="F32" s="127"/>
      <c r="G32" s="93"/>
      <c r="H32" s="93"/>
      <c r="I32" s="94"/>
    </row>
    <row r="33" spans="2:9" x14ac:dyDescent="0.25">
      <c r="B33" s="126"/>
      <c r="C33" s="102" t="str">
        <f>IFERROR(VLOOKUP(B33,Table6[],2,FALSE),"")</f>
        <v/>
      </c>
      <c r="D33" s="93"/>
      <c r="E33" s="93"/>
      <c r="F33" s="127"/>
      <c r="G33" s="93"/>
      <c r="H33" s="93"/>
      <c r="I33" s="94"/>
    </row>
    <row r="34" spans="2:9" x14ac:dyDescent="0.25">
      <c r="B34" s="126"/>
      <c r="C34" s="102" t="str">
        <f>IFERROR(VLOOKUP(B34,Table6[],2,FALSE),"")</f>
        <v/>
      </c>
      <c r="D34" s="93"/>
      <c r="E34" s="93"/>
      <c r="F34" s="127"/>
      <c r="G34" s="93"/>
      <c r="H34" s="93"/>
      <c r="I34" s="94"/>
    </row>
    <row r="35" spans="2:9" x14ac:dyDescent="0.25">
      <c r="B35" s="126"/>
      <c r="C35" s="102" t="str">
        <f>IFERROR(VLOOKUP(B35,Table6[],2,FALSE),"")</f>
        <v/>
      </c>
      <c r="D35" s="93"/>
      <c r="E35" s="93"/>
      <c r="F35" s="127"/>
      <c r="G35" s="93"/>
      <c r="H35" s="93"/>
      <c r="I35" s="94"/>
    </row>
    <row r="36" spans="2:9" x14ac:dyDescent="0.25">
      <c r="B36" s="124"/>
      <c r="C36" s="104"/>
      <c r="D36" s="97"/>
      <c r="E36" s="97"/>
      <c r="F36" s="128"/>
      <c r="G36" s="93"/>
      <c r="H36" s="93"/>
      <c r="I36" s="94"/>
    </row>
    <row r="37" spans="2:9" x14ac:dyDescent="0.25">
      <c r="B37" s="103"/>
      <c r="C37" s="108"/>
      <c r="D37" s="93"/>
      <c r="E37" s="93"/>
      <c r="F37" s="93"/>
      <c r="G37" s="93"/>
      <c r="H37" s="93"/>
      <c r="I37" s="94"/>
    </row>
    <row r="38" spans="2:9" x14ac:dyDescent="0.25">
      <c r="B38" s="103"/>
      <c r="C38" s="108"/>
      <c r="D38" s="93"/>
      <c r="E38" s="93"/>
      <c r="F38" s="93"/>
      <c r="G38" s="93"/>
      <c r="H38" s="93"/>
      <c r="I38" s="94"/>
    </row>
    <row r="39" spans="2:9" x14ac:dyDescent="0.25">
      <c r="B39" s="103"/>
      <c r="C39" s="108"/>
      <c r="D39" s="93"/>
      <c r="E39" s="93"/>
      <c r="F39" s="93"/>
      <c r="G39" s="93"/>
      <c r="H39" s="93"/>
      <c r="I39" s="94"/>
    </row>
    <row r="40" spans="2:9" x14ac:dyDescent="0.25">
      <c r="B40" s="103"/>
      <c r="C40" s="108"/>
      <c r="D40" s="93"/>
      <c r="E40" s="93"/>
      <c r="F40" s="93"/>
      <c r="G40" s="93"/>
      <c r="H40" s="93"/>
      <c r="I40" s="94"/>
    </row>
    <row r="41" spans="2:9" x14ac:dyDescent="0.25">
      <c r="B41" s="109"/>
      <c r="C41" s="109"/>
    </row>
    <row r="42" spans="2:9" x14ac:dyDescent="0.25">
      <c r="B42" s="109"/>
      <c r="C42" s="109"/>
    </row>
  </sheetData>
  <mergeCells count="2">
    <mergeCell ref="B1:H1"/>
    <mergeCell ref="Y1:AA1"/>
  </mergeCell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7BBD481-2E0A-48D4-AF88-234562F22A26}">
          <x14:formula1>
            <xm:f>'Summary Tables'!$A$3:$A$6</xm:f>
          </x14:formula1>
          <xm:sqref>C3</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4A7DF-6EF8-4392-ACA0-58CA87E0E466}">
  <sheetPr codeName="Sheet3">
    <tabColor theme="8"/>
  </sheetPr>
  <dimension ref="B1:AA43"/>
  <sheetViews>
    <sheetView zoomScaleNormal="100" workbookViewId="0">
      <selection activeCell="B8" sqref="B8:B36"/>
    </sheetView>
  </sheetViews>
  <sheetFormatPr defaultRowHeight="15" x14ac:dyDescent="0.25"/>
  <cols>
    <col min="1" max="1" width="2.85546875" style="91" customWidth="1"/>
    <col min="2" max="2" width="30.7109375" style="91" bestFit="1" customWidth="1"/>
    <col min="3" max="3" width="12.140625" style="91" bestFit="1" customWidth="1"/>
    <col min="4" max="4" width="10.85546875" style="112" bestFit="1" customWidth="1"/>
    <col min="5" max="5" width="6.42578125" style="112" customWidth="1"/>
    <col min="6" max="6" width="17.85546875" style="112" customWidth="1"/>
    <col min="7" max="7" width="2.85546875" style="91" customWidth="1"/>
    <col min="8" max="8" width="16" style="91" bestFit="1" customWidth="1"/>
    <col min="9" max="16384" width="9.140625" style="91"/>
  </cols>
  <sheetData>
    <row r="1" spans="2:27" ht="15" customHeight="1" x14ac:dyDescent="0.25">
      <c r="B1" s="151" t="s">
        <v>308</v>
      </c>
      <c r="C1" s="151"/>
      <c r="D1" s="151"/>
      <c r="E1" s="151"/>
      <c r="F1" s="151"/>
      <c r="G1" s="151"/>
      <c r="H1" s="151"/>
      <c r="I1" s="151"/>
      <c r="J1" s="151"/>
      <c r="K1" s="92"/>
      <c r="L1" s="92"/>
      <c r="M1" s="92"/>
      <c r="N1" s="92"/>
      <c r="O1" s="92"/>
      <c r="P1" s="92"/>
      <c r="Q1" s="92"/>
      <c r="R1" s="92"/>
      <c r="S1" s="92"/>
      <c r="T1" s="92"/>
      <c r="U1" s="92"/>
      <c r="V1" s="92"/>
      <c r="W1" s="92"/>
      <c r="X1" s="92"/>
      <c r="Y1" s="149">
        <f ca="1">TODAY()</f>
        <v>43936</v>
      </c>
      <c r="Z1" s="149"/>
      <c r="AA1" s="149"/>
    </row>
    <row r="2" spans="2:27" x14ac:dyDescent="0.25">
      <c r="B2" s="132" t="s">
        <v>304</v>
      </c>
      <c r="C2" s="115"/>
      <c r="D2" s="115"/>
      <c r="E2" s="115"/>
      <c r="F2" s="133"/>
      <c r="H2" s="115"/>
      <c r="I2" s="94"/>
      <c r="J2" s="94"/>
    </row>
    <row r="3" spans="2:27" x14ac:dyDescent="0.25">
      <c r="B3" s="125"/>
      <c r="C3" s="129"/>
      <c r="D3" s="129"/>
      <c r="E3" s="129"/>
      <c r="F3" s="134"/>
      <c r="H3" s="129"/>
      <c r="I3" s="94"/>
      <c r="J3" s="94"/>
    </row>
    <row r="4" spans="2:27" x14ac:dyDescent="0.25">
      <c r="B4" s="125"/>
      <c r="C4" s="129"/>
      <c r="D4" s="129"/>
      <c r="E4" s="129"/>
      <c r="F4" s="134"/>
      <c r="H4" s="129"/>
      <c r="I4" s="94"/>
      <c r="J4" s="94"/>
    </row>
    <row r="5" spans="2:27" x14ac:dyDescent="0.25">
      <c r="B5" s="125"/>
      <c r="C5" s="129"/>
      <c r="D5" s="129"/>
      <c r="E5" s="129"/>
      <c r="F5" s="134"/>
      <c r="H5" s="129"/>
      <c r="I5" s="94"/>
      <c r="J5" s="94"/>
    </row>
    <row r="6" spans="2:27" x14ac:dyDescent="0.25">
      <c r="B6" s="110"/>
      <c r="C6" s="122"/>
      <c r="D6" s="102"/>
      <c r="E6" s="102"/>
      <c r="F6" s="134"/>
      <c r="G6" s="94"/>
      <c r="H6" s="94"/>
      <c r="I6" s="94"/>
      <c r="J6" s="94"/>
    </row>
    <row r="7" spans="2:27" ht="18" customHeight="1" x14ac:dyDescent="0.25">
      <c r="B7" s="135" t="s">
        <v>75</v>
      </c>
      <c r="C7" s="116" t="s">
        <v>95</v>
      </c>
      <c r="D7" s="117" t="s">
        <v>305</v>
      </c>
      <c r="E7" s="117" t="s">
        <v>306</v>
      </c>
      <c r="F7" s="136" t="s">
        <v>162</v>
      </c>
      <c r="G7" s="94"/>
      <c r="J7" s="94"/>
    </row>
    <row r="8" spans="2:27" x14ac:dyDescent="0.25">
      <c r="B8" s="137" t="e" vm="9">
        <v>#VALUE!</v>
      </c>
      <c r="C8" s="122" t="str">
        <f>VLOOKUP(B8,Table1[],2,FALSE)</f>
        <v>Small Cap Junior</v>
      </c>
      <c r="D8" s="113">
        <f>VLOOKUP(B8,Table1[],13,FALSE)</f>
        <v>45000</v>
      </c>
      <c r="E8" s="108">
        <f>VLOOKUP(B8,Table1[],18,FALSE)</f>
        <v>1562.5</v>
      </c>
      <c r="F8" s="138">
        <f>VLOOKUP(B8,Table1[],27,FALSE)</f>
        <v>153450.0000000037</v>
      </c>
      <c r="G8" s="94"/>
      <c r="J8" s="94"/>
    </row>
    <row r="9" spans="2:27" x14ac:dyDescent="0.25">
      <c r="B9" s="137" t="e" vm="10">
        <v>#VALUE!</v>
      </c>
      <c r="C9" s="122" t="str">
        <f>VLOOKUP(B9,Table1[],2,FALSE)</f>
        <v>Small Cap Junior</v>
      </c>
      <c r="D9" s="113">
        <f>VLOOKUP(B9,Table1[],13,FALSE)</f>
        <v>95000</v>
      </c>
      <c r="E9" s="108">
        <f>VLOOKUP(B9,Table1[],18,FALSE)</f>
        <v>1315</v>
      </c>
      <c r="F9" s="138">
        <f>VLOOKUP(B9,Table1[],27,FALSE)</f>
        <v>23836450.000000007</v>
      </c>
      <c r="G9" s="94"/>
      <c r="J9" s="94"/>
    </row>
    <row r="10" spans="2:27" x14ac:dyDescent="0.25">
      <c r="B10" s="137" t="e" vm="11">
        <v>#VALUE!</v>
      </c>
      <c r="C10" s="122" t="str">
        <f>VLOOKUP(B10,Table1[],2,FALSE)</f>
        <v>Small Cap Junior</v>
      </c>
      <c r="D10" s="113">
        <f>VLOOKUP(B10,Table1[],13,FALSE)</f>
        <v>113700</v>
      </c>
      <c r="E10" s="108">
        <f>VLOOKUP(B10,Table1[],18,FALSE)</f>
        <v>1100</v>
      </c>
      <c r="F10" s="138">
        <f>VLOOKUP(B10,Table1[],27,FALSE)</f>
        <v>52973967.000000007</v>
      </c>
      <c r="G10" s="94"/>
      <c r="J10" s="94"/>
    </row>
    <row r="11" spans="2:27" x14ac:dyDescent="0.25">
      <c r="B11" s="137" t="e" vm="12">
        <v>#VALUE!</v>
      </c>
      <c r="C11" s="122" t="str">
        <f>VLOOKUP(B11,Table1[],2,FALSE)</f>
        <v>Small Cap Junior</v>
      </c>
      <c r="D11" s="113">
        <f>VLOOKUP(B11,Table1[],13,FALSE)</f>
        <v>115000</v>
      </c>
      <c r="E11" s="108">
        <f>VLOOKUP(B11,Table1[],18,FALSE)</f>
        <v>750</v>
      </c>
      <c r="F11" s="138">
        <f>VLOOKUP(B11,Table1[],27,FALSE)</f>
        <v>93829650.000000015</v>
      </c>
      <c r="G11" s="94"/>
      <c r="H11" s="94"/>
      <c r="I11" s="94"/>
      <c r="J11" s="94"/>
    </row>
    <row r="12" spans="2:27" x14ac:dyDescent="0.25">
      <c r="B12" s="137" t="e" vm="13">
        <v>#VALUE!</v>
      </c>
      <c r="C12" s="122" t="str">
        <f>VLOOKUP(B12,Table1[],2,FALSE)</f>
        <v>Small Cap Junior</v>
      </c>
      <c r="D12" s="113">
        <f>VLOOKUP(B12,Table1[],13,FALSE)</f>
        <v>172500</v>
      </c>
      <c r="E12" s="108">
        <f>VLOOKUP(B12,Table1[],18,FALSE)</f>
        <v>1100</v>
      </c>
      <c r="F12" s="138">
        <f>VLOOKUP(B12,Table1[],27,FALSE)</f>
        <v>80369475.000000015</v>
      </c>
      <c r="G12" s="94"/>
      <c r="H12" s="94"/>
      <c r="I12" s="94"/>
      <c r="J12" s="94"/>
    </row>
    <row r="13" spans="2:27" x14ac:dyDescent="0.25">
      <c r="B13" s="137" t="e" vm="14">
        <v>#VALUE!</v>
      </c>
      <c r="C13" s="122" t="str">
        <f>VLOOKUP(B13,Table1[],2,FALSE)</f>
        <v>Small Cap Junior</v>
      </c>
      <c r="D13" s="113">
        <f>VLOOKUP(B13,Table1[],13,FALSE)</f>
        <v>210000</v>
      </c>
      <c r="E13" s="108">
        <f>VLOOKUP(B13,Table1[],18,FALSE)</f>
        <v>800</v>
      </c>
      <c r="F13" s="138">
        <f>VLOOKUP(B13,Table1[],27,FALSE)</f>
        <v>160841100.00000003</v>
      </c>
      <c r="G13" s="94"/>
      <c r="H13" s="94"/>
      <c r="I13" s="94"/>
    </row>
    <row r="14" spans="2:27" x14ac:dyDescent="0.25">
      <c r="B14" s="137" t="e" vm="15">
        <v>#VALUE!</v>
      </c>
      <c r="C14" s="122" t="str">
        <f>VLOOKUP(B14,Table1[],2,FALSE)</f>
        <v>Small Cap Junior</v>
      </c>
      <c r="D14" s="113">
        <f>VLOOKUP(B14,Table1[],13,FALSE)</f>
        <v>274000</v>
      </c>
      <c r="E14" s="108">
        <f>VLOOKUP(B14,Table1[],18,FALSE)</f>
        <v>720</v>
      </c>
      <c r="F14" s="138">
        <f>VLOOKUP(B14,Table1[],27,FALSE)</f>
        <v>231779340.00000003</v>
      </c>
      <c r="G14" s="94"/>
      <c r="H14" s="94"/>
      <c r="I14" s="94"/>
      <c r="J14" s="94"/>
    </row>
    <row r="15" spans="2:27" x14ac:dyDescent="0.25">
      <c r="B15" s="137" t="e" vm="16">
        <v>#VALUE!</v>
      </c>
      <c r="C15" s="122" t="str">
        <f>VLOOKUP(B15,Table1[],2,FALSE)</f>
        <v>Small Cap Senior</v>
      </c>
      <c r="D15" s="113">
        <f>VLOOKUP(B15,Table1[],13,FALSE)</f>
        <v>280000</v>
      </c>
      <c r="E15" s="108">
        <f>VLOOKUP(B15,Table1[],18,FALSE)</f>
        <v>621</v>
      </c>
      <c r="F15" s="138">
        <f>VLOOKUP(B15,Table1[],27,FALSE)</f>
        <v>264574800.00000003</v>
      </c>
      <c r="G15" s="94"/>
      <c r="H15" s="94"/>
      <c r="I15" s="94"/>
      <c r="J15" s="94"/>
    </row>
    <row r="16" spans="2:27" x14ac:dyDescent="0.25">
      <c r="B16" s="137" t="e" vm="17">
        <v>#VALUE!</v>
      </c>
      <c r="C16" s="122" t="str">
        <f>VLOOKUP(B16,Table1[],2,FALSE)</f>
        <v>Small Cap Junior</v>
      </c>
      <c r="D16" s="113">
        <f>VLOOKUP(B16,Table1[],13,FALSE)</f>
        <v>326500</v>
      </c>
      <c r="E16" s="108">
        <f>VLOOKUP(B16,Table1[],18,FALSE)</f>
        <v>1300</v>
      </c>
      <c r="F16" s="138">
        <f>VLOOKUP(B16,Table1[],27,FALSE)</f>
        <v>86819615.00000003</v>
      </c>
      <c r="G16" s="94"/>
      <c r="H16" s="94"/>
      <c r="I16" s="94"/>
      <c r="J16" s="94"/>
    </row>
    <row r="17" spans="2:10" x14ac:dyDescent="0.25">
      <c r="B17" s="137" t="e" vm="18">
        <v>#VALUE!</v>
      </c>
      <c r="C17" s="122" t="str">
        <f>VLOOKUP(B17,Table1[],2,FALSE)</f>
        <v>Small Cap Senior</v>
      </c>
      <c r="D17" s="113">
        <f>VLOOKUP(B17,Table1[],13,FALSE)</f>
        <v>335000</v>
      </c>
      <c r="E17" s="108">
        <f>VLOOKUP(B17,Table1[],18,FALSE)</f>
        <v>927.5</v>
      </c>
      <c r="F17" s="138">
        <f>VLOOKUP(B17,Table1[],27,FALSE)</f>
        <v>213867350.00000003</v>
      </c>
      <c r="G17" s="94"/>
      <c r="H17" s="94"/>
      <c r="I17" s="94"/>
      <c r="J17" s="94"/>
    </row>
    <row r="18" spans="2:10" x14ac:dyDescent="0.25">
      <c r="B18" s="139" t="e" vm="19">
        <v>#VALUE!</v>
      </c>
      <c r="C18" s="122" t="str">
        <f>VLOOKUP(B18,Table1[],2,FALSE)</f>
        <v>Mid Cap Senior</v>
      </c>
      <c r="D18" s="113">
        <f>VLOOKUP(B18,Table1[],13,FALSE)</f>
        <v>345000</v>
      </c>
      <c r="E18" s="108">
        <f>VLOOKUP(B18,Table1[],18,FALSE)</f>
        <v>985</v>
      </c>
      <c r="F18" s="138">
        <f>VLOOKUP(B18,Table1[],27,FALSE)</f>
        <v>200413950.00000003</v>
      </c>
      <c r="G18" s="94"/>
      <c r="H18" s="94"/>
      <c r="I18" s="94"/>
      <c r="J18" s="94"/>
    </row>
    <row r="19" spans="2:10" x14ac:dyDescent="0.25">
      <c r="B19" s="137" t="e" vm="20">
        <v>#VALUE!</v>
      </c>
      <c r="C19" s="122" t="str">
        <f>VLOOKUP(B19,Table1[],2,FALSE)</f>
        <v>Small Cap Junior</v>
      </c>
      <c r="D19" s="113">
        <f>VLOOKUP(B19,Table1[],13,FALSE)</f>
        <v>350000</v>
      </c>
      <c r="E19" s="108">
        <f>VLOOKUP(B19,Table1[],18,FALSE)</f>
        <v>1037.5</v>
      </c>
      <c r="F19" s="138">
        <f>VLOOKUP(B19,Table1[],27,FALSE)</f>
        <v>184943500.00000003</v>
      </c>
      <c r="G19" s="94"/>
      <c r="H19" s="94"/>
      <c r="I19" s="94"/>
      <c r="J19" s="94"/>
    </row>
    <row r="20" spans="2:10" x14ac:dyDescent="0.25">
      <c r="B20" s="137" t="e" vm="21">
        <v>#VALUE!</v>
      </c>
      <c r="C20" s="122" t="str">
        <f>VLOOKUP(B20,Table1[],2,FALSE)</f>
        <v>Small Cap Senior</v>
      </c>
      <c r="D20" s="113">
        <f>VLOOKUP(B20,Table1[],13,FALSE)</f>
        <v>425000</v>
      </c>
      <c r="E20" s="108">
        <f>VLOOKUP(B20,Table1[],18,FALSE)</f>
        <v>1087</v>
      </c>
      <c r="F20" s="138">
        <f>VLOOKUP(B20,Table1[],27,FALSE)</f>
        <v>203536750.00000003</v>
      </c>
      <c r="G20" s="94"/>
      <c r="H20" s="94"/>
      <c r="I20" s="94"/>
      <c r="J20" s="94"/>
    </row>
    <row r="21" spans="2:10" x14ac:dyDescent="0.25">
      <c r="B21" s="137" t="e" vm="22">
        <v>#VALUE!</v>
      </c>
      <c r="C21" s="122" t="str">
        <f>VLOOKUP(B21,Table1[],2,FALSE)</f>
        <v>Mid Cap Senior</v>
      </c>
      <c r="D21" s="113">
        <f>VLOOKUP(B21,Table1[],13,FALSE)</f>
        <v>445000</v>
      </c>
      <c r="E21" s="108">
        <f>VLOOKUP(B21,Table1[],18,FALSE)</f>
        <v>1040</v>
      </c>
      <c r="F21" s="138">
        <f>VLOOKUP(B21,Table1[],27,FALSE)</f>
        <v>234029950.00000003</v>
      </c>
      <c r="G21" s="94"/>
      <c r="H21" s="94"/>
      <c r="I21" s="94"/>
      <c r="J21" s="94"/>
    </row>
    <row r="22" spans="2:10" x14ac:dyDescent="0.25">
      <c r="B22" s="137" t="e" vm="23">
        <v>#VALUE!</v>
      </c>
      <c r="C22" s="122" t="str">
        <f>VLOOKUP(B22,Table1[],2,FALSE)</f>
        <v>Small Cap Senior</v>
      </c>
      <c r="D22" s="113">
        <f>VLOOKUP(B22,Table1[],13,FALSE)</f>
        <v>450000</v>
      </c>
      <c r="E22" s="108">
        <f>VLOOKUP(B22,Table1[],18,FALSE)</f>
        <v>930</v>
      </c>
      <c r="F22" s="138">
        <f>VLOOKUP(B22,Table1[],27,FALSE)</f>
        <v>286159500.00000006</v>
      </c>
      <c r="G22" s="94"/>
      <c r="H22" s="94"/>
      <c r="I22" s="94"/>
      <c r="J22" s="94"/>
    </row>
    <row r="23" spans="2:10" x14ac:dyDescent="0.25">
      <c r="B23" s="137" t="e" vm="24">
        <v>#VALUE!</v>
      </c>
      <c r="C23" s="122" t="str">
        <f>VLOOKUP(B23,Table1[],2,FALSE)</f>
        <v>Small Cap Senior</v>
      </c>
      <c r="D23" s="113">
        <f>VLOOKUP(B23,Table1[],13,FALSE)</f>
        <v>525000</v>
      </c>
      <c r="E23" s="108">
        <f>VLOOKUP(B23,Table1[],18,FALSE)</f>
        <v>895</v>
      </c>
      <c r="F23" s="138">
        <f>VLOOKUP(B23,Table1[],27,FALSE)</f>
        <v>352227750.00000006</v>
      </c>
      <c r="G23" s="94"/>
      <c r="H23" s="94"/>
      <c r="I23" s="94"/>
      <c r="J23" s="94"/>
    </row>
    <row r="24" spans="2:10" x14ac:dyDescent="0.25">
      <c r="B24" s="137" t="e" vm="25">
        <v>#VALUE!</v>
      </c>
      <c r="C24" s="122" t="str">
        <f>VLOOKUP(B24,Table1[],2,FALSE)</f>
        <v>Small Cap Senior</v>
      </c>
      <c r="D24" s="113">
        <f>VLOOKUP(B24,Table1[],13,FALSE)</f>
        <v>535000</v>
      </c>
      <c r="E24" s="108">
        <f>VLOOKUP(B24,Table1[],18,FALSE)</f>
        <v>900</v>
      </c>
      <c r="F24" s="138">
        <f>VLOOKUP(B24,Table1[],27,FALSE)</f>
        <v>356261850.00000006</v>
      </c>
      <c r="G24" s="94"/>
      <c r="H24" s="94"/>
      <c r="I24" s="94"/>
      <c r="J24" s="94"/>
    </row>
    <row r="25" spans="2:10" x14ac:dyDescent="0.25">
      <c r="B25" s="137" t="e" vm="26">
        <v>#VALUE!</v>
      </c>
      <c r="C25" s="122" t="str">
        <f>VLOOKUP(B25,Table1[],2,FALSE)</f>
        <v>Large Cap Senior</v>
      </c>
      <c r="D25" s="113">
        <f>VLOOKUP(B25,Table1[],13,FALSE)</f>
        <v>565000</v>
      </c>
      <c r="E25" s="108">
        <f>VLOOKUP(B25,Table1[],18,FALSE)</f>
        <v>344.64016736401675</v>
      </c>
      <c r="F25" s="138">
        <f>VLOOKUP(B25,Table1[],27,FALSE)</f>
        <v>690017455.43933058</v>
      </c>
      <c r="G25" s="94"/>
      <c r="H25" s="94"/>
      <c r="I25" s="94"/>
      <c r="J25" s="94"/>
    </row>
    <row r="26" spans="2:10" x14ac:dyDescent="0.25">
      <c r="B26" s="137" t="e" vm="27">
        <v>#VALUE!</v>
      </c>
      <c r="C26" s="122" t="str">
        <f>VLOOKUP(B26,Table1[],2,FALSE)</f>
        <v>Small Cap Junior</v>
      </c>
      <c r="D26" s="113">
        <f>VLOOKUP(B26,Table1[],13,FALSE)</f>
        <v>700000</v>
      </c>
      <c r="E26" s="108">
        <f>VLOOKUP(B26,Table1[],18,FALSE)</f>
        <v>1000</v>
      </c>
      <c r="F26" s="138">
        <f>VLOOKUP(B26,Table1[],27,FALSE)</f>
        <v>396137000.00000006</v>
      </c>
      <c r="G26" s="94"/>
      <c r="H26" s="94"/>
      <c r="I26" s="94"/>
      <c r="J26" s="94"/>
    </row>
    <row r="27" spans="2:10" x14ac:dyDescent="0.25">
      <c r="B27" s="137" t="e" vm="28">
        <v>#VALUE!</v>
      </c>
      <c r="C27" s="122" t="str">
        <f>VLOOKUP(B27,Table1[],2,FALSE)</f>
        <v>Small Cap Senior</v>
      </c>
      <c r="D27" s="113">
        <f>VLOOKUP(B27,Table1[],13,FALSE)</f>
        <v>730000</v>
      </c>
      <c r="E27" s="108">
        <f>VLOOKUP(B27,Table1[],18,FALSE)</f>
        <v>1125</v>
      </c>
      <c r="F27" s="138">
        <f>VLOOKUP(B27,Table1[],27,FALSE)</f>
        <v>321864300.00000006</v>
      </c>
      <c r="G27" s="94"/>
      <c r="H27" s="94"/>
      <c r="I27" s="94"/>
      <c r="J27" s="94"/>
    </row>
    <row r="28" spans="2:10" x14ac:dyDescent="0.25">
      <c r="B28" s="137" t="e" vm="29">
        <v>#VALUE!</v>
      </c>
      <c r="C28" s="122" t="str">
        <f>VLOOKUP(B28,Table1[],2,FALSE)</f>
        <v>Mid Cap Senior</v>
      </c>
      <c r="D28" s="113">
        <f>VLOOKUP(B28,Table1[],13,FALSE)</f>
        <v>805000</v>
      </c>
      <c r="E28" s="108">
        <f>VLOOKUP(B28,Table1[],18,FALSE)</f>
        <v>845</v>
      </c>
      <c r="F28" s="138">
        <f>VLOOKUP(B28,Table1[],27,FALSE)</f>
        <v>590309425.00000012</v>
      </c>
      <c r="G28" s="94"/>
      <c r="H28" s="94"/>
      <c r="I28" s="94"/>
      <c r="J28" s="94"/>
    </row>
    <row r="29" spans="2:10" x14ac:dyDescent="0.25">
      <c r="B29" s="137" t="e" vm="30">
        <v>#VALUE!</v>
      </c>
      <c r="C29" s="122" t="str">
        <f>VLOOKUP(B29,Table1[],2,FALSE)</f>
        <v>Mid Cap Senior</v>
      </c>
      <c r="D29" s="113">
        <f>VLOOKUP(B29,Table1[],13,FALSE)</f>
        <v>990000</v>
      </c>
      <c r="E29" s="108">
        <f>VLOOKUP(B29,Table1[],18,FALSE)</f>
        <v>999</v>
      </c>
      <c r="F29" s="138">
        <f>VLOOKUP(B29,Table1[],27,FALSE)</f>
        <v>561240900.00000012</v>
      </c>
      <c r="G29" s="94"/>
      <c r="H29" s="94"/>
      <c r="I29" s="94"/>
      <c r="J29" s="94"/>
    </row>
    <row r="30" spans="2:10" x14ac:dyDescent="0.25">
      <c r="B30" s="137" t="e" vm="31">
        <v>#VALUE!</v>
      </c>
      <c r="C30" s="122" t="str">
        <f>VLOOKUP(B30,Table1[],2,FALSE)</f>
        <v>Mid Cap Senior</v>
      </c>
      <c r="D30" s="113">
        <f>VLOOKUP(B30,Table1[],13,FALSE)</f>
        <v>1027500</v>
      </c>
      <c r="E30" s="108">
        <f>VLOOKUP(B30,Table1[],18,FALSE)</f>
        <v>800</v>
      </c>
      <c r="F30" s="138">
        <f>VLOOKUP(B30,Table1[],27,FALSE)</f>
        <v>786972525.00000012</v>
      </c>
      <c r="G30" s="94"/>
      <c r="H30" s="94"/>
      <c r="I30" s="94"/>
      <c r="J30" s="94"/>
    </row>
    <row r="31" spans="2:10" x14ac:dyDescent="0.25">
      <c r="B31" s="137" t="e" vm="32">
        <v>#VALUE!</v>
      </c>
      <c r="C31" s="122" t="str">
        <f>VLOOKUP(B31,Table1[],2,FALSE)</f>
        <v>Large Cap Senior</v>
      </c>
      <c r="D31" s="113">
        <f>VLOOKUP(B31,Table1[],13,FALSE)</f>
        <v>1505000</v>
      </c>
      <c r="E31" s="108">
        <f>VLOOKUP(B31,Table1[],18,FALSE)</f>
        <v>830</v>
      </c>
      <c r="F31" s="138">
        <f>VLOOKUP(B31,Table1[],27,FALSE)</f>
        <v>1081787700.0000002</v>
      </c>
      <c r="G31" s="94"/>
      <c r="H31" s="94"/>
      <c r="I31" s="94"/>
      <c r="J31" s="94"/>
    </row>
    <row r="32" spans="2:10" x14ac:dyDescent="0.25">
      <c r="B32" s="137" t="e" vm="33">
        <v>#VALUE!</v>
      </c>
      <c r="C32" s="122" t="str">
        <f>VLOOKUP(B32,Table1[],2,FALSE)</f>
        <v>Large Cap Senior</v>
      </c>
      <c r="D32" s="113">
        <f>VLOOKUP(B32,Table1[],13,FALSE)</f>
        <v>2000000</v>
      </c>
      <c r="E32" s="108">
        <f>VLOOKUP(B32,Table1[],18,FALSE)</f>
        <v>1000</v>
      </c>
      <c r="F32" s="138">
        <f>VLOOKUP(B32,Table1[],27,FALSE)</f>
        <v>1061081250.0000001</v>
      </c>
      <c r="G32" s="94"/>
      <c r="H32" s="94"/>
      <c r="I32" s="94"/>
      <c r="J32" s="94"/>
    </row>
    <row r="33" spans="2:10" x14ac:dyDescent="0.25">
      <c r="B33" s="137" t="e" vm="34">
        <v>#VALUE!</v>
      </c>
      <c r="C33" s="122" t="str">
        <f>VLOOKUP(B33,Table1[],2,FALSE)</f>
        <v>Mid Cap Senior</v>
      </c>
      <c r="D33" s="113">
        <f>VLOOKUP(B33,Table1[],13,FALSE)</f>
        <v>2400000</v>
      </c>
      <c r="E33" s="108">
        <f>VLOOKUP(B33,Table1[],18,FALSE)</f>
        <v>970</v>
      </c>
      <c r="F33" s="138">
        <f>VLOOKUP(B33,Table1[],27,FALSE)</f>
        <v>1430184000.0000002</v>
      </c>
      <c r="G33" s="94"/>
      <c r="H33" s="94"/>
      <c r="I33" s="94"/>
      <c r="J33" s="94"/>
    </row>
    <row r="34" spans="2:10" x14ac:dyDescent="0.25">
      <c r="B34" s="137" t="e" vm="35">
        <v>#VALUE!</v>
      </c>
      <c r="C34" s="122" t="str">
        <f>VLOOKUP(B34,Table1[],2,FALSE)</f>
        <v>Mid Cap Senior</v>
      </c>
      <c r="D34" s="113">
        <f>VLOOKUP(B34,Table1[],13,FALSE)</f>
        <v>3175000</v>
      </c>
      <c r="E34" s="108">
        <f>VLOOKUP(B34,Table1[],18,FALSE)</f>
        <v>1070</v>
      </c>
      <c r="F34" s="138">
        <f>VLOOKUP(B34,Table1[],27,FALSE)</f>
        <v>1574514250.0000002</v>
      </c>
      <c r="G34" s="94"/>
      <c r="H34" s="94"/>
      <c r="I34" s="94"/>
      <c r="J34" s="94"/>
    </row>
    <row r="35" spans="2:10" x14ac:dyDescent="0.25">
      <c r="B35" s="137" t="e" vm="36">
        <v>#VALUE!</v>
      </c>
      <c r="C35" s="122" t="str">
        <f>VLOOKUP(B35,Table1[],2,FALSE)</f>
        <v>Large Cap Senior</v>
      </c>
      <c r="D35" s="113">
        <f>VLOOKUP(B35,Table1[],13,FALSE)</f>
        <v>5000000</v>
      </c>
      <c r="E35" s="108">
        <f>VLOOKUP(B35,Table1[],18,FALSE)</f>
        <v>945</v>
      </c>
      <c r="F35" s="138">
        <f>VLOOKUP(B35,Table1[],27,FALSE)</f>
        <v>3025883750.0000005</v>
      </c>
      <c r="G35" s="94"/>
      <c r="H35" s="94"/>
      <c r="I35" s="94"/>
      <c r="J35" s="94"/>
    </row>
    <row r="36" spans="2:10" x14ac:dyDescent="0.25">
      <c r="B36" s="140" t="e" vm="37">
        <v>#VALUE!</v>
      </c>
      <c r="C36" s="111" t="str">
        <f>VLOOKUP(B36,Table1[],2,FALSE)</f>
        <v>Large Cap Senior</v>
      </c>
      <c r="D36" s="141">
        <f>VLOOKUP(B36,Table1[],13,FALSE)</f>
        <v>6400000</v>
      </c>
      <c r="E36" s="104">
        <f>VLOOKUP(B36,Table1[],18,FALSE)</f>
        <v>975</v>
      </c>
      <c r="F36" s="142">
        <f>VLOOKUP(B36,Table1[],27,FALSE)</f>
        <v>4609098000.000001</v>
      </c>
      <c r="G36" s="94"/>
      <c r="H36" s="94"/>
      <c r="I36" s="94"/>
      <c r="J36" s="94"/>
    </row>
    <row r="37" spans="2:10" x14ac:dyDescent="0.25">
      <c r="B37" s="93"/>
      <c r="C37" s="93"/>
      <c r="D37" s="102"/>
      <c r="E37" s="102"/>
      <c r="F37" s="102"/>
      <c r="G37" s="94"/>
      <c r="H37" s="94"/>
      <c r="I37" s="94"/>
      <c r="J37" s="94"/>
    </row>
    <row r="38" spans="2:10" x14ac:dyDescent="0.25">
      <c r="B38" s="93"/>
      <c r="C38" s="93"/>
      <c r="D38" s="102"/>
      <c r="E38" s="102"/>
      <c r="F38" s="102"/>
      <c r="G38" s="94"/>
      <c r="H38" s="94"/>
      <c r="I38" s="94"/>
      <c r="J38" s="94"/>
    </row>
    <row r="39" spans="2:10" x14ac:dyDescent="0.25">
      <c r="B39" s="93"/>
      <c r="C39" s="93"/>
      <c r="D39" s="102"/>
      <c r="E39" s="102"/>
      <c r="F39" s="102"/>
      <c r="G39" s="94"/>
      <c r="H39" s="94"/>
      <c r="I39" s="94"/>
      <c r="J39" s="94"/>
    </row>
    <row r="40" spans="2:10" x14ac:dyDescent="0.25">
      <c r="B40" s="93"/>
      <c r="C40" s="93"/>
      <c r="D40" s="102"/>
      <c r="E40" s="102"/>
      <c r="F40" s="102"/>
      <c r="G40" s="94"/>
      <c r="H40" s="94"/>
      <c r="I40" s="94"/>
      <c r="J40" s="94"/>
    </row>
    <row r="41" spans="2:10" x14ac:dyDescent="0.25">
      <c r="B41" s="93"/>
      <c r="C41" s="93"/>
      <c r="D41" s="102"/>
      <c r="E41" s="102"/>
      <c r="F41" s="102"/>
      <c r="G41" s="94"/>
      <c r="H41" s="94"/>
      <c r="I41" s="94"/>
      <c r="J41" s="94"/>
    </row>
    <row r="42" spans="2:10" x14ac:dyDescent="0.25">
      <c r="B42" s="93"/>
      <c r="C42" s="93"/>
      <c r="D42" s="102"/>
      <c r="E42" s="102"/>
      <c r="F42" s="102"/>
      <c r="G42" s="94"/>
      <c r="H42" s="94"/>
      <c r="I42" s="94"/>
      <c r="J42" s="94"/>
    </row>
    <row r="43" spans="2:10" x14ac:dyDescent="0.25">
      <c r="B43" s="93"/>
      <c r="C43" s="93"/>
      <c r="D43" s="102"/>
      <c r="E43" s="102"/>
      <c r="F43" s="102"/>
      <c r="G43" s="94"/>
      <c r="H43" s="94"/>
      <c r="I43" s="94"/>
      <c r="J43" s="94"/>
    </row>
  </sheetData>
  <mergeCells count="2">
    <mergeCell ref="B1:J1"/>
    <mergeCell ref="Y1:AA1"/>
  </mergeCells>
  <pageMargins left="0.7" right="0.7" top="0.75" bottom="0.75" header="0.3" footer="0.3"/>
  <pageSetup orientation="portrait" horizontalDpi="0"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3F179-1CF7-4674-AE6B-E3E9EC24FEE6}">
  <sheetPr codeName="Sheet4">
    <tabColor theme="8"/>
  </sheetPr>
  <dimension ref="B1:AA43"/>
  <sheetViews>
    <sheetView zoomScaleNormal="100" workbookViewId="0">
      <selection activeCell="B8" sqref="B8:B36"/>
    </sheetView>
  </sheetViews>
  <sheetFormatPr defaultRowHeight="15" x14ac:dyDescent="0.25"/>
  <cols>
    <col min="1" max="1" width="2.85546875" style="91" customWidth="1"/>
    <col min="2" max="2" width="30.7109375" style="91" bestFit="1" customWidth="1"/>
    <col min="3" max="3" width="12.140625" style="91" bestFit="1" customWidth="1"/>
    <col min="4" max="4" width="10.85546875" style="112" bestFit="1" customWidth="1"/>
    <col min="5" max="5" width="6.42578125" style="112" customWidth="1"/>
    <col min="6" max="6" width="17.85546875" style="112" customWidth="1"/>
    <col min="7" max="7" width="2.85546875" style="91" customWidth="1"/>
    <col min="8" max="8" width="16" style="91" bestFit="1" customWidth="1"/>
    <col min="9" max="16384" width="9.140625" style="91"/>
  </cols>
  <sheetData>
    <row r="1" spans="2:27" ht="15" customHeight="1" x14ac:dyDescent="0.25">
      <c r="B1" s="151" t="s">
        <v>311</v>
      </c>
      <c r="C1" s="151"/>
      <c r="D1" s="151"/>
      <c r="E1" s="151"/>
      <c r="F1" s="151"/>
      <c r="G1" s="151"/>
      <c r="H1" s="151"/>
      <c r="I1" s="151"/>
      <c r="J1" s="151"/>
      <c r="K1" s="92"/>
      <c r="L1" s="92"/>
      <c r="M1" s="92"/>
      <c r="N1" s="92"/>
      <c r="O1" s="92"/>
      <c r="P1" s="92"/>
      <c r="Q1" s="92"/>
      <c r="R1" s="92"/>
      <c r="S1" s="92"/>
      <c r="T1" s="92"/>
      <c r="U1" s="92"/>
      <c r="V1" s="92"/>
      <c r="W1" s="92"/>
      <c r="X1" s="92"/>
      <c r="Y1" s="149">
        <f ca="1">TODAY()</f>
        <v>43936</v>
      </c>
      <c r="Z1" s="149"/>
      <c r="AA1" s="149"/>
    </row>
    <row r="2" spans="2:27" x14ac:dyDescent="0.25">
      <c r="B2" s="132" t="s">
        <v>310</v>
      </c>
      <c r="C2" s="115"/>
      <c r="D2" s="115"/>
      <c r="E2" s="115"/>
      <c r="F2" s="133"/>
      <c r="H2" s="115"/>
      <c r="I2" s="94"/>
      <c r="J2" s="94"/>
    </row>
    <row r="3" spans="2:27" x14ac:dyDescent="0.25">
      <c r="B3" s="125"/>
      <c r="C3" s="129"/>
      <c r="D3" s="129"/>
      <c r="E3" s="129"/>
      <c r="F3" s="134"/>
      <c r="H3" s="129"/>
      <c r="I3" s="94"/>
      <c r="J3" s="94"/>
    </row>
    <row r="4" spans="2:27" x14ac:dyDescent="0.25">
      <c r="B4" s="125"/>
      <c r="C4" s="129"/>
      <c r="D4" s="129"/>
      <c r="E4" s="129"/>
      <c r="F4" s="134"/>
      <c r="H4" s="129"/>
      <c r="I4" s="94"/>
      <c r="J4" s="94"/>
    </row>
    <row r="5" spans="2:27" x14ac:dyDescent="0.25">
      <c r="B5" s="125"/>
      <c r="C5" s="129"/>
      <c r="D5" s="129"/>
      <c r="E5" s="129"/>
      <c r="F5" s="134"/>
      <c r="H5" s="129"/>
      <c r="I5" s="94"/>
      <c r="J5" s="94"/>
    </row>
    <row r="6" spans="2:27" x14ac:dyDescent="0.25">
      <c r="B6" s="110"/>
      <c r="C6" s="122"/>
      <c r="D6" s="102"/>
      <c r="E6" s="102"/>
      <c r="F6" s="134"/>
      <c r="G6" s="94"/>
      <c r="H6" s="94"/>
      <c r="I6" s="94"/>
      <c r="J6" s="94"/>
    </row>
    <row r="7" spans="2:27" ht="18" customHeight="1" x14ac:dyDescent="0.25">
      <c r="B7" s="135" t="s">
        <v>75</v>
      </c>
      <c r="C7" s="116" t="s">
        <v>95</v>
      </c>
      <c r="D7" s="117" t="s">
        <v>165</v>
      </c>
      <c r="E7" s="117" t="s">
        <v>309</v>
      </c>
      <c r="F7" s="136" t="s">
        <v>84</v>
      </c>
      <c r="G7" s="94"/>
      <c r="J7" s="94"/>
    </row>
    <row r="8" spans="2:27" x14ac:dyDescent="0.25">
      <c r="B8" s="137" t="e" vm="9">
        <v>#VALUE!</v>
      </c>
      <c r="C8" s="122" t="str">
        <f>VLOOKUP(B8,Table1[],2,FALSE)</f>
        <v>Small Cap Junior</v>
      </c>
      <c r="D8" s="113">
        <f>VLOOKUP(B8,Table1[],4,FALSE)</f>
        <v>97.313829999999996</v>
      </c>
      <c r="E8" s="108">
        <f>VLOOKUP(B8,Table1[],28,FALSE)</f>
        <v>634.17289019222972</v>
      </c>
      <c r="F8" s="138">
        <f>VLOOKUP(B8,Table1[],29,FALSE)</f>
        <v>-1.4999999999999998</v>
      </c>
      <c r="G8" s="94"/>
      <c r="J8" s="94"/>
    </row>
    <row r="9" spans="2:27" x14ac:dyDescent="0.25">
      <c r="B9" s="137" t="e" vm="11">
        <v>#VALUE!</v>
      </c>
      <c r="C9" s="122" t="str">
        <f>VLOOKUP(B9,Table1[],2,FALSE)</f>
        <v>Small Cap Junior</v>
      </c>
      <c r="D9" s="113">
        <f>VLOOKUP(B9,Table1[],4,FALSE)</f>
        <v>126.8386</v>
      </c>
      <c r="E9" s="108">
        <f>VLOOKUP(B9,Table1[],28,FALSE)</f>
        <v>2.3943572132326807</v>
      </c>
      <c r="F9" s="138">
        <f>VLOOKUP(B9,Table1[],29,FALSE)</f>
        <v>0</v>
      </c>
      <c r="G9" s="94"/>
      <c r="J9" s="94"/>
    </row>
    <row r="10" spans="2:27" x14ac:dyDescent="0.25">
      <c r="B10" s="137" t="e" vm="13">
        <v>#VALUE!</v>
      </c>
      <c r="C10" s="122" t="str">
        <f>VLOOKUP(B10,Table1[],2,FALSE)</f>
        <v>Small Cap Junior</v>
      </c>
      <c r="D10" s="113">
        <f>VLOOKUP(B10,Table1[],4,FALSE)</f>
        <v>378.41660000000002</v>
      </c>
      <c r="E10" s="108">
        <f>VLOOKUP(B10,Table1[],28,FALSE)</f>
        <v>4.7084617636235642</v>
      </c>
      <c r="F10" s="138">
        <f>VLOOKUP(B10,Table1[],29,FALSE)</f>
        <v>-9.7647058823529402</v>
      </c>
      <c r="G10" s="94"/>
      <c r="J10" s="94"/>
    </row>
    <row r="11" spans="2:27" x14ac:dyDescent="0.25">
      <c r="B11" s="137" t="e" vm="14">
        <v>#VALUE!</v>
      </c>
      <c r="C11" s="122" t="str">
        <f>VLOOKUP(B11,Table1[],2,FALSE)</f>
        <v>Small Cap Junior</v>
      </c>
      <c r="D11" s="113">
        <f>VLOOKUP(B11,Table1[],4,FALSE)</f>
        <v>469.94389999999999</v>
      </c>
      <c r="E11" s="108">
        <f>VLOOKUP(B11,Table1[],28,FALSE)</f>
        <v>2.9217898907679687</v>
      </c>
      <c r="F11" s="138">
        <f>VLOOKUP(B11,Table1[],29,FALSE)</f>
        <v>0</v>
      </c>
      <c r="G11" s="94"/>
      <c r="H11" s="94"/>
      <c r="I11" s="94"/>
      <c r="J11" s="94"/>
    </row>
    <row r="12" spans="2:27" x14ac:dyDescent="0.25">
      <c r="B12" s="137" t="e" vm="17">
        <v>#VALUE!</v>
      </c>
      <c r="C12" s="122" t="str">
        <f>VLOOKUP(B12,Table1[],2,FALSE)</f>
        <v>Small Cap Junior</v>
      </c>
      <c r="D12" s="113">
        <f>VLOOKUP(B12,Table1[],4,FALSE)</f>
        <v>673.53470000000004</v>
      </c>
      <c r="E12" s="108">
        <f>VLOOKUP(B12,Table1[],28,FALSE)</f>
        <v>7.7578632432313803</v>
      </c>
      <c r="F12" s="138">
        <f>VLOOKUP(B12,Table1[],29,FALSE)</f>
        <v>-9.5833333333333321</v>
      </c>
      <c r="G12" s="94"/>
      <c r="H12" s="94"/>
      <c r="I12" s="94"/>
      <c r="J12" s="94"/>
    </row>
    <row r="13" spans="2:27" x14ac:dyDescent="0.25">
      <c r="B13" s="137" t="e" vm="12">
        <v>#VALUE!</v>
      </c>
      <c r="C13" s="122" t="str">
        <f>VLOOKUP(B13,Table1[],2,FALSE)</f>
        <v>Small Cap Junior</v>
      </c>
      <c r="D13" s="113">
        <f>VLOOKUP(B13,Table1[],4,FALSE)</f>
        <v>857.61599999999999</v>
      </c>
      <c r="E13" s="108">
        <f>VLOOKUP(B13,Table1[],28,FALSE)</f>
        <v>9.1401385382978617</v>
      </c>
      <c r="F13" s="138">
        <f>VLOOKUP(B13,Table1[],29,FALSE)</f>
        <v>9.19</v>
      </c>
      <c r="G13" s="94"/>
      <c r="H13" s="94"/>
      <c r="I13" s="94"/>
    </row>
    <row r="14" spans="2:27" x14ac:dyDescent="0.25">
      <c r="B14" s="137" t="e" vm="15">
        <v>#VALUE!</v>
      </c>
      <c r="C14" s="122" t="str">
        <f>VLOOKUP(B14,Table1[],2,FALSE)</f>
        <v>Small Cap Junior</v>
      </c>
      <c r="D14" s="113">
        <f>VLOOKUP(B14,Table1[],4,FALSE)</f>
        <v>1104.8869999999999</v>
      </c>
      <c r="E14" s="108">
        <f>VLOOKUP(B14,Table1[],28,FALSE)</f>
        <v>4.7669779368601182</v>
      </c>
      <c r="F14" s="138">
        <f>VLOOKUP(B14,Table1[],29,FALSE)</f>
        <v>38.83</v>
      </c>
      <c r="G14" s="94"/>
      <c r="H14" s="94"/>
      <c r="I14" s="94"/>
      <c r="J14" s="94"/>
    </row>
    <row r="15" spans="2:27" x14ac:dyDescent="0.25">
      <c r="B15" s="137" t="e" vm="18">
        <v>#VALUE!</v>
      </c>
      <c r="C15" s="122" t="str">
        <f>VLOOKUP(B15,Table1[],2,FALSE)</f>
        <v>Small Cap Senior</v>
      </c>
      <c r="D15" s="113">
        <f>VLOOKUP(B15,Table1[],4,FALSE)</f>
        <v>1179.777</v>
      </c>
      <c r="E15" s="108">
        <f>VLOOKUP(B15,Table1[],28,FALSE)</f>
        <v>5.5163960277246602</v>
      </c>
      <c r="F15" s="138">
        <f>VLOOKUP(B15,Table1[],29,FALSE)</f>
        <v>13.78</v>
      </c>
      <c r="G15" s="94"/>
      <c r="H15" s="94"/>
      <c r="I15" s="94"/>
      <c r="J15" s="94"/>
    </row>
    <row r="16" spans="2:27" x14ac:dyDescent="0.25">
      <c r="B16" s="137" t="e" vm="23">
        <v>#VALUE!</v>
      </c>
      <c r="C16" s="122" t="str">
        <f>VLOOKUP(B16,Table1[],2,FALSE)</f>
        <v>Small Cap Senior</v>
      </c>
      <c r="D16" s="113">
        <f>VLOOKUP(B16,Table1[],4,FALSE)</f>
        <v>1291.5509999999999</v>
      </c>
      <c r="E16" s="108">
        <f>VLOOKUP(B16,Table1[],28,FALSE)</f>
        <v>4.5133955014598488</v>
      </c>
      <c r="F16" s="138">
        <f>VLOOKUP(B16,Table1[],29,FALSE)</f>
        <v>36.53</v>
      </c>
      <c r="G16" s="94"/>
      <c r="H16" s="94"/>
      <c r="I16" s="94"/>
      <c r="J16" s="94"/>
    </row>
    <row r="17" spans="2:10" x14ac:dyDescent="0.25">
      <c r="B17" s="137" t="e" vm="10">
        <v>#VALUE!</v>
      </c>
      <c r="C17" s="122" t="str">
        <f>VLOOKUP(B17,Table1[],2,FALSE)</f>
        <v>Small Cap Junior</v>
      </c>
      <c r="D17" s="113">
        <f>VLOOKUP(B17,Table1[],4,FALSE)</f>
        <v>1348.1859999999999</v>
      </c>
      <c r="E17" s="108">
        <f>VLOOKUP(B17,Table1[],28,FALSE)</f>
        <v>56.559848467368241</v>
      </c>
      <c r="F17" s="138">
        <f>VLOOKUP(B17,Table1[],29,FALSE)</f>
        <v>44.22</v>
      </c>
      <c r="G17" s="94"/>
      <c r="H17" s="94"/>
      <c r="I17" s="94"/>
      <c r="J17" s="94"/>
    </row>
    <row r="18" spans="2:10" x14ac:dyDescent="0.25">
      <c r="B18" s="137" t="e" vm="24">
        <v>#VALUE!</v>
      </c>
      <c r="C18" s="122" t="str">
        <f>VLOOKUP(B18,Table1[],2,FALSE)</f>
        <v>Small Cap Senior</v>
      </c>
      <c r="D18" s="113">
        <f>VLOOKUP(B18,Table1[],4,FALSE)</f>
        <v>1583.9780000000001</v>
      </c>
      <c r="E18" s="108">
        <f>VLOOKUP(B18,Table1[],28,FALSE)</f>
        <v>4.4970278463295399</v>
      </c>
      <c r="F18" s="138">
        <f>VLOOKUP(B18,Table1[],29,FALSE)</f>
        <v>35.33</v>
      </c>
      <c r="G18" s="94"/>
      <c r="H18" s="94"/>
      <c r="I18" s="94"/>
      <c r="J18" s="94"/>
    </row>
    <row r="19" spans="2:10" x14ac:dyDescent="0.25">
      <c r="B19" s="137" t="e" vm="20">
        <v>#VALUE!</v>
      </c>
      <c r="C19" s="122" t="str">
        <f>VLOOKUP(B19,Table1[],2,FALSE)</f>
        <v>Small Cap Junior</v>
      </c>
      <c r="D19" s="113">
        <f>VLOOKUP(B19,Table1[],4,FALSE)</f>
        <v>1587.5340000000001</v>
      </c>
      <c r="E19" s="108">
        <f>VLOOKUP(B19,Table1[],28,FALSE)</f>
        <v>8.5838864301800264</v>
      </c>
      <c r="F19" s="138">
        <f>VLOOKUP(B19,Table1[],29,FALSE)</f>
        <v>-22.64516129032258</v>
      </c>
      <c r="G19" s="94"/>
      <c r="H19" s="94"/>
      <c r="I19" s="94"/>
      <c r="J19" s="94"/>
    </row>
    <row r="20" spans="2:10" x14ac:dyDescent="0.25">
      <c r="B20" s="137" t="e" vm="21">
        <v>#VALUE!</v>
      </c>
      <c r="C20" s="122" t="str">
        <f>VLOOKUP(B20,Table1[],2,FALSE)</f>
        <v>Small Cap Senior</v>
      </c>
      <c r="D20" s="113">
        <f>VLOOKUP(B20,Table1[],4,FALSE)</f>
        <v>1932.4259999999999</v>
      </c>
      <c r="E20" s="108">
        <f>VLOOKUP(B20,Table1[],28,FALSE)</f>
        <v>9.4942362988502058</v>
      </c>
      <c r="F20" s="138">
        <f>VLOOKUP(B20,Table1[],29,FALSE)</f>
        <v>68.319999999999993</v>
      </c>
      <c r="G20" s="94"/>
      <c r="H20" s="94"/>
      <c r="I20" s="94"/>
      <c r="J20" s="94"/>
    </row>
    <row r="21" spans="2:10" x14ac:dyDescent="0.25">
      <c r="B21" s="137" t="e" vm="25">
        <v>#VALUE!</v>
      </c>
      <c r="C21" s="122" t="str">
        <f>VLOOKUP(B21,Table1[],2,FALSE)</f>
        <v>Small Cap Senior</v>
      </c>
      <c r="D21" s="113">
        <f>VLOOKUP(B21,Table1[],4,FALSE)</f>
        <v>1990.627</v>
      </c>
      <c r="E21" s="108">
        <f>VLOOKUP(B21,Table1[],28,FALSE)</f>
        <v>5.5875390530869353</v>
      </c>
      <c r="F21" s="138">
        <f>VLOOKUP(B21,Table1[],29,FALSE)</f>
        <v>20.450980392156861</v>
      </c>
      <c r="G21" s="94"/>
      <c r="H21" s="94"/>
      <c r="I21" s="94"/>
      <c r="J21" s="94"/>
    </row>
    <row r="22" spans="2:10" x14ac:dyDescent="0.25">
      <c r="B22" s="137" t="e" vm="28">
        <v>#VALUE!</v>
      </c>
      <c r="C22" s="122" t="str">
        <f>VLOOKUP(B22,Table1[],2,FALSE)</f>
        <v>Small Cap Senior</v>
      </c>
      <c r="D22" s="113">
        <f>VLOOKUP(B22,Table1[],4,FALSE)</f>
        <v>2010.328</v>
      </c>
      <c r="E22" s="108">
        <f>VLOOKUP(B22,Table1[],28,FALSE)</f>
        <v>6.2458868535590915</v>
      </c>
      <c r="F22" s="138">
        <f>VLOOKUP(B22,Table1[],29,FALSE)</f>
        <v>-5.5113636363636358</v>
      </c>
      <c r="G22" s="94"/>
      <c r="H22" s="94"/>
      <c r="I22" s="94"/>
      <c r="J22" s="94"/>
    </row>
    <row r="23" spans="2:10" x14ac:dyDescent="0.25">
      <c r="B23" s="137" t="e" vm="19">
        <v>#VALUE!</v>
      </c>
      <c r="C23" s="122" t="str">
        <f>VLOOKUP(B23,Table1[],2,FALSE)</f>
        <v>Mid Cap Senior</v>
      </c>
      <c r="D23" s="113">
        <f>VLOOKUP(B23,Table1[],4,FALSE)</f>
        <v>2039.2380000000001</v>
      </c>
      <c r="E23" s="108">
        <f>VLOOKUP(B23,Table1[],28,FALSE)</f>
        <v>10.175130024631518</v>
      </c>
      <c r="F23" s="138">
        <f>VLOOKUP(B23,Table1[],29,FALSE)</f>
        <v>92.18</v>
      </c>
      <c r="G23" s="94"/>
      <c r="H23" s="94"/>
      <c r="I23" s="94"/>
      <c r="J23" s="94"/>
    </row>
    <row r="24" spans="2:10" x14ac:dyDescent="0.25">
      <c r="B24" s="137" t="e" vm="16">
        <v>#VALUE!</v>
      </c>
      <c r="C24" s="122" t="str">
        <f>VLOOKUP(B24,Table1[],2,FALSE)</f>
        <v>Small Cap Senior</v>
      </c>
      <c r="D24" s="113">
        <f>VLOOKUP(B24,Table1[],4,FALSE)</f>
        <v>2138.19</v>
      </c>
      <c r="E24" s="108">
        <f>VLOOKUP(B24,Table1[],28,FALSE)</f>
        <v>8.0816086792846473</v>
      </c>
      <c r="F24" s="138">
        <f>VLOOKUP(B24,Table1[],29,FALSE)</f>
        <v>0</v>
      </c>
      <c r="G24" s="94"/>
      <c r="H24" s="94"/>
      <c r="I24" s="94"/>
      <c r="J24" s="94"/>
    </row>
    <row r="25" spans="2:10" x14ac:dyDescent="0.25">
      <c r="B25" s="137" t="e" vm="27">
        <v>#VALUE!</v>
      </c>
      <c r="C25" s="122" t="str">
        <f>VLOOKUP(B25,Table1[],2,FALSE)</f>
        <v>Small Cap Junior</v>
      </c>
      <c r="D25" s="113">
        <f>VLOOKUP(B25,Table1[],4,FALSE)</f>
        <v>2256.4760000000001</v>
      </c>
      <c r="E25" s="108">
        <f>VLOOKUP(B25,Table1[],28,FALSE)</f>
        <v>5.6962010617538876</v>
      </c>
      <c r="F25" s="138">
        <f>VLOOKUP(B25,Table1[],29,FALSE)</f>
        <v>-18.163636363636364</v>
      </c>
      <c r="G25" s="94"/>
      <c r="H25" s="94"/>
      <c r="I25" s="94"/>
      <c r="J25" s="94"/>
    </row>
    <row r="26" spans="2:10" x14ac:dyDescent="0.25">
      <c r="B26" s="137" t="e" vm="29">
        <v>#VALUE!</v>
      </c>
      <c r="C26" s="122" t="str">
        <f>VLOOKUP(B26,Table1[],2,FALSE)</f>
        <v>Mid Cap Senior</v>
      </c>
      <c r="D26" s="113">
        <f>VLOOKUP(B26,Table1[],4,FALSE)</f>
        <v>2859.0729999999999</v>
      </c>
      <c r="E26" s="108">
        <f>VLOOKUP(B26,Table1[],28,FALSE)</f>
        <v>4.9266114747484</v>
      </c>
      <c r="F26" s="138">
        <f>VLOOKUP(B26,Table1[],29,FALSE)</f>
        <v>20.81</v>
      </c>
      <c r="G26" s="94"/>
      <c r="H26" s="94"/>
      <c r="I26" s="94"/>
      <c r="J26" s="94"/>
    </row>
    <row r="27" spans="2:10" x14ac:dyDescent="0.25">
      <c r="B27" s="137" t="e" vm="22">
        <v>#VALUE!</v>
      </c>
      <c r="C27" s="122" t="str">
        <f>VLOOKUP(B27,Table1[],2,FALSE)</f>
        <v>Mid Cap Senior</v>
      </c>
      <c r="D27" s="113">
        <f>VLOOKUP(B27,Table1[],4,FALSE)</f>
        <v>3750.355</v>
      </c>
      <c r="E27" s="108">
        <f>VLOOKUP(B27,Table1[],28,FALSE)</f>
        <v>16.025107042923349</v>
      </c>
      <c r="F27" s="138">
        <f>VLOOKUP(B27,Table1[],29,FALSE)</f>
        <v>31.32</v>
      </c>
      <c r="G27" s="94"/>
      <c r="H27" s="94"/>
      <c r="I27" s="94"/>
      <c r="J27" s="94"/>
    </row>
    <row r="28" spans="2:10" x14ac:dyDescent="0.25">
      <c r="B28" s="137" t="e" vm="30">
        <v>#VALUE!</v>
      </c>
      <c r="C28" s="122" t="str">
        <f>VLOOKUP(B28,Table1[],2,FALSE)</f>
        <v>Mid Cap Senior</v>
      </c>
      <c r="D28" s="113">
        <f>VLOOKUP(B28,Table1[],4,FALSE)</f>
        <v>5471.223</v>
      </c>
      <c r="E28" s="108">
        <f>VLOOKUP(B28,Table1[],28,FALSE)</f>
        <v>9.7484395738086782</v>
      </c>
      <c r="F28" s="138">
        <f>VLOOKUP(B28,Table1[],29,FALSE)</f>
        <v>24.59</v>
      </c>
      <c r="G28" s="94"/>
      <c r="H28" s="94"/>
      <c r="I28" s="94"/>
      <c r="J28" s="94"/>
    </row>
    <row r="29" spans="2:10" x14ac:dyDescent="0.25">
      <c r="B29" s="137" t="e" vm="31">
        <v>#VALUE!</v>
      </c>
      <c r="C29" s="122" t="str">
        <f>VLOOKUP(B29,Table1[],2,FALSE)</f>
        <v>Mid Cap Senior</v>
      </c>
      <c r="D29" s="113">
        <f>VLOOKUP(B29,Table1[],4,FALSE)</f>
        <v>6529.8580000000002</v>
      </c>
      <c r="E29" s="108">
        <f>VLOOKUP(B29,Table1[],28,FALSE)</f>
        <v>8.2974408795275281</v>
      </c>
      <c r="F29" s="138">
        <f>VLOOKUP(B29,Table1[],29,FALSE)</f>
        <v>398.85</v>
      </c>
      <c r="G29" s="94"/>
      <c r="H29" s="94"/>
      <c r="I29" s="94"/>
      <c r="J29" s="94"/>
    </row>
    <row r="30" spans="2:10" x14ac:dyDescent="0.25">
      <c r="B30" s="137" t="e" vm="35">
        <v>#VALUE!</v>
      </c>
      <c r="C30" s="122" t="str">
        <f>VLOOKUP(B30,Table1[],2,FALSE)</f>
        <v>Mid Cap Senior</v>
      </c>
      <c r="D30" s="113">
        <f>VLOOKUP(B30,Table1[],4,FALSE)</f>
        <v>8714.4380000000001</v>
      </c>
      <c r="E30" s="108">
        <f>VLOOKUP(B30,Table1[],28,FALSE)</f>
        <v>5.5346834746017688</v>
      </c>
      <c r="F30" s="138">
        <f>VLOOKUP(B30,Table1[],29,FALSE)</f>
        <v>43.8</v>
      </c>
      <c r="G30" s="94"/>
      <c r="H30" s="94"/>
      <c r="I30" s="94"/>
      <c r="J30" s="94"/>
    </row>
    <row r="31" spans="2:10" x14ac:dyDescent="0.25">
      <c r="B31" s="137" t="e" vm="34">
        <v>#VALUE!</v>
      </c>
      <c r="C31" s="122" t="str">
        <f>VLOOKUP(B31,Table1[],2,FALSE)</f>
        <v>Mid Cap Senior</v>
      </c>
      <c r="D31" s="113">
        <f>VLOOKUP(B31,Table1[],4,FALSE)</f>
        <v>10860.91</v>
      </c>
      <c r="E31" s="108">
        <f>VLOOKUP(B31,Table1[],28,FALSE)</f>
        <v>7.5940648196315976</v>
      </c>
      <c r="F31" s="138">
        <f>VLOOKUP(B31,Table1[],29,FALSE)</f>
        <v>34.49</v>
      </c>
      <c r="G31" s="94"/>
      <c r="H31" s="94"/>
      <c r="I31" s="94"/>
      <c r="J31" s="94"/>
    </row>
    <row r="32" spans="2:10" x14ac:dyDescent="0.25">
      <c r="B32" s="137" t="e" vm="32">
        <v>#VALUE!</v>
      </c>
      <c r="C32" s="122" t="str">
        <f>VLOOKUP(B32,Table1[],2,FALSE)</f>
        <v>Large Cap Senior</v>
      </c>
      <c r="D32" s="113">
        <f>VLOOKUP(B32,Table1[],4,FALSE)</f>
        <v>15191.53</v>
      </c>
      <c r="E32" s="108">
        <f>VLOOKUP(B32,Table1[],28,FALSE)</f>
        <v>14.042986438096861</v>
      </c>
      <c r="F32" s="138">
        <f>VLOOKUP(B32,Table1[],29,FALSE)</f>
        <v>18.649999999999999</v>
      </c>
      <c r="G32" s="94"/>
      <c r="H32" s="94"/>
      <c r="I32" s="94"/>
      <c r="J32" s="94"/>
    </row>
    <row r="33" spans="2:10" x14ac:dyDescent="0.25">
      <c r="B33" s="137" t="e" vm="33">
        <v>#VALUE!</v>
      </c>
      <c r="C33" s="122" t="str">
        <f>VLOOKUP(B33,Table1[],2,FALSE)</f>
        <v>Large Cap Senior</v>
      </c>
      <c r="D33" s="113">
        <f>VLOOKUP(B33,Table1[],4,FALSE)</f>
        <v>17240.53</v>
      </c>
      <c r="E33" s="108">
        <f>VLOOKUP(B33,Table1[],28,FALSE)</f>
        <v>16.248077138296431</v>
      </c>
      <c r="F33" s="138">
        <f>VLOOKUP(B33,Table1[],29,FALSE)</f>
        <v>39.99</v>
      </c>
      <c r="G33" s="94"/>
      <c r="H33" s="94"/>
      <c r="I33" s="94"/>
      <c r="J33" s="94"/>
    </row>
    <row r="34" spans="2:10" x14ac:dyDescent="0.25">
      <c r="B34" s="139" t="e" vm="26">
        <v>#VALUE!</v>
      </c>
      <c r="C34" s="122" t="str">
        <f>VLOOKUP(B34,Table1[],2,FALSE)</f>
        <v>Large Cap Senior</v>
      </c>
      <c r="D34" s="113">
        <f>VLOOKUP(B34,Table1[],4,FALSE)</f>
        <v>31893.98</v>
      </c>
      <c r="E34" s="108">
        <f>VLOOKUP(B34,Table1[],28,FALSE)</f>
        <v>46.221990108486843</v>
      </c>
      <c r="F34" s="138">
        <f>VLOOKUP(B34,Table1[],29,FALSE)</f>
        <v>96.84</v>
      </c>
      <c r="G34" s="94"/>
      <c r="H34" s="94"/>
      <c r="I34" s="94"/>
      <c r="J34" s="94"/>
    </row>
    <row r="35" spans="2:10" x14ac:dyDescent="0.25">
      <c r="B35" s="137" t="e" vm="37">
        <v>#VALUE!</v>
      </c>
      <c r="C35" s="122" t="str">
        <f>VLOOKUP(B35,Table1[],2,FALSE)</f>
        <v>Large Cap Senior</v>
      </c>
      <c r="D35" s="113">
        <f>VLOOKUP(B35,Table1[],4,FALSE)</f>
        <v>48281.46</v>
      </c>
      <c r="E35" s="108">
        <f>VLOOKUP(B35,Table1[],28,FALSE)</f>
        <v>12.766712570442197</v>
      </c>
      <c r="F35" s="138">
        <f>VLOOKUP(B35,Table1[],29,FALSE)</f>
        <v>13.09</v>
      </c>
      <c r="G35" s="94"/>
      <c r="H35" s="94"/>
      <c r="I35" s="94"/>
      <c r="J35" s="94"/>
    </row>
    <row r="36" spans="2:10" x14ac:dyDescent="0.25">
      <c r="B36" s="140" t="e" vm="36">
        <v>#VALUE!</v>
      </c>
      <c r="C36" s="111" t="str">
        <f>VLOOKUP(B36,Table1[],2,FALSE)</f>
        <v>Large Cap Senior</v>
      </c>
      <c r="D36" s="141">
        <f>VLOOKUP(B36,Table1[],4,FALSE)</f>
        <v>59864.49</v>
      </c>
      <c r="E36" s="104">
        <f>VLOOKUP(B36,Table1[],28,FALSE)</f>
        <v>19.282823597622841</v>
      </c>
      <c r="F36" s="142">
        <f>VLOOKUP(B36,Table1[],29,FALSE)</f>
        <v>41.03</v>
      </c>
      <c r="G36" s="94"/>
      <c r="H36" s="94"/>
      <c r="I36" s="94"/>
      <c r="J36" s="94"/>
    </row>
    <row r="37" spans="2:10" x14ac:dyDescent="0.25">
      <c r="B37" s="93"/>
      <c r="C37" s="93"/>
      <c r="D37" s="102"/>
      <c r="E37" s="102"/>
      <c r="F37" s="102"/>
      <c r="G37" s="94"/>
      <c r="H37" s="94"/>
      <c r="I37" s="94"/>
      <c r="J37" s="94"/>
    </row>
    <row r="38" spans="2:10" x14ac:dyDescent="0.25">
      <c r="B38" s="93"/>
      <c r="C38" s="93"/>
      <c r="D38" s="102"/>
      <c r="E38" s="102"/>
      <c r="F38" s="102"/>
      <c r="G38" s="94"/>
      <c r="H38" s="94"/>
      <c r="I38" s="94"/>
      <c r="J38" s="94"/>
    </row>
    <row r="39" spans="2:10" x14ac:dyDescent="0.25">
      <c r="B39" s="93"/>
      <c r="C39" s="93"/>
      <c r="D39" s="102"/>
      <c r="E39" s="102"/>
      <c r="F39" s="102"/>
      <c r="G39" s="94"/>
      <c r="H39" s="94"/>
      <c r="I39" s="94"/>
      <c r="J39" s="94"/>
    </row>
    <row r="40" spans="2:10" x14ac:dyDescent="0.25">
      <c r="B40" s="93"/>
      <c r="C40" s="93"/>
      <c r="D40" s="102"/>
      <c r="E40" s="102"/>
      <c r="F40" s="102"/>
      <c r="G40" s="94"/>
      <c r="H40" s="94"/>
      <c r="I40" s="94"/>
      <c r="J40" s="94"/>
    </row>
    <row r="41" spans="2:10" x14ac:dyDescent="0.25">
      <c r="B41" s="93"/>
      <c r="C41" s="93"/>
      <c r="D41" s="102"/>
      <c r="E41" s="102"/>
      <c r="F41" s="102"/>
      <c r="G41" s="94"/>
      <c r="H41" s="94"/>
      <c r="I41" s="94"/>
      <c r="J41" s="94"/>
    </row>
    <row r="42" spans="2:10" x14ac:dyDescent="0.25">
      <c r="B42" s="93"/>
      <c r="C42" s="93"/>
      <c r="D42" s="102"/>
      <c r="E42" s="102"/>
      <c r="F42" s="102"/>
      <c r="G42" s="94"/>
      <c r="H42" s="94"/>
      <c r="I42" s="94"/>
      <c r="J42" s="94"/>
    </row>
    <row r="43" spans="2:10" x14ac:dyDescent="0.25">
      <c r="B43" s="93"/>
      <c r="C43" s="93"/>
      <c r="D43" s="102"/>
      <c r="E43" s="102"/>
      <c r="F43" s="102"/>
      <c r="G43" s="94"/>
      <c r="H43" s="94"/>
      <c r="I43" s="94"/>
      <c r="J43" s="94"/>
    </row>
  </sheetData>
  <mergeCells count="2">
    <mergeCell ref="B1:J1"/>
    <mergeCell ref="Y1:AA1"/>
  </mergeCells>
  <pageMargins left="0.7" right="0.7" top="0.75" bottom="0.75" header="0.3" footer="0.3"/>
  <pageSetup orientation="portrait" horizontalDpi="0"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923F2-1E13-4720-BBD4-BAE66D907F00}">
  <sheetPr codeName="Sheet5">
    <tabColor theme="8"/>
  </sheetPr>
  <dimension ref="B1:AA43"/>
  <sheetViews>
    <sheetView zoomScaleNormal="100" workbookViewId="0">
      <selection activeCell="B8" sqref="B8:B36"/>
    </sheetView>
  </sheetViews>
  <sheetFormatPr defaultRowHeight="15" x14ac:dyDescent="0.25"/>
  <cols>
    <col min="1" max="1" width="2.85546875" style="91" customWidth="1"/>
    <col min="2" max="2" width="30.7109375" style="91" bestFit="1" customWidth="1"/>
    <col min="3" max="3" width="12.140625" style="91" bestFit="1" customWidth="1"/>
    <col min="4" max="4" width="10.85546875" style="112" bestFit="1" customWidth="1"/>
    <col min="5" max="5" width="6.42578125" style="112" customWidth="1"/>
    <col min="6" max="6" width="17.85546875" style="112" customWidth="1"/>
    <col min="7" max="7" width="2.85546875" style="91" customWidth="1"/>
    <col min="8" max="8" width="16" style="91" bestFit="1" customWidth="1"/>
    <col min="9" max="16384" width="9.140625" style="91"/>
  </cols>
  <sheetData>
    <row r="1" spans="2:27" ht="15" customHeight="1" x14ac:dyDescent="0.25">
      <c r="B1" s="151" t="s">
        <v>311</v>
      </c>
      <c r="C1" s="151"/>
      <c r="D1" s="151"/>
      <c r="E1" s="151"/>
      <c r="F1" s="151"/>
      <c r="G1" s="151"/>
      <c r="H1" s="151"/>
      <c r="I1" s="151"/>
      <c r="J1" s="151"/>
      <c r="K1" s="92"/>
      <c r="L1" s="92"/>
      <c r="M1" s="92"/>
      <c r="N1" s="92"/>
      <c r="O1" s="92"/>
      <c r="P1" s="92"/>
      <c r="Q1" s="92"/>
      <c r="R1" s="92"/>
      <c r="S1" s="92"/>
      <c r="T1" s="92"/>
      <c r="U1" s="92"/>
      <c r="V1" s="92"/>
      <c r="W1" s="92"/>
      <c r="X1" s="92"/>
      <c r="Y1" s="149">
        <f ca="1">TODAY()</f>
        <v>43936</v>
      </c>
      <c r="Z1" s="149"/>
      <c r="AA1" s="149"/>
    </row>
    <row r="2" spans="2:27" x14ac:dyDescent="0.25">
      <c r="B2" s="132" t="s">
        <v>310</v>
      </c>
      <c r="C2" s="115"/>
      <c r="D2" s="115"/>
      <c r="E2" s="115"/>
      <c r="F2" s="133"/>
      <c r="H2" s="115"/>
      <c r="I2" s="94"/>
      <c r="J2" s="94"/>
    </row>
    <row r="3" spans="2:27" x14ac:dyDescent="0.25">
      <c r="B3" s="125"/>
      <c r="C3" s="129"/>
      <c r="D3" s="129"/>
      <c r="E3" s="129"/>
      <c r="F3" s="134"/>
      <c r="H3" s="129"/>
      <c r="I3" s="94"/>
      <c r="J3" s="94"/>
    </row>
    <row r="4" spans="2:27" x14ac:dyDescent="0.25">
      <c r="B4" s="125"/>
      <c r="C4" s="129"/>
      <c r="D4" s="129"/>
      <c r="E4" s="129"/>
      <c r="F4" s="134"/>
      <c r="H4" s="129"/>
      <c r="I4" s="94"/>
      <c r="J4" s="94"/>
    </row>
    <row r="5" spans="2:27" x14ac:dyDescent="0.25">
      <c r="B5" s="125"/>
      <c r="C5" s="129"/>
      <c r="D5" s="129"/>
      <c r="E5" s="129"/>
      <c r="F5" s="134"/>
      <c r="H5" s="129"/>
      <c r="I5" s="94"/>
      <c r="J5" s="94"/>
    </row>
    <row r="6" spans="2:27" x14ac:dyDescent="0.25">
      <c r="B6" s="110"/>
      <c r="C6" s="122"/>
      <c r="D6" s="102"/>
      <c r="E6" s="102"/>
      <c r="F6" s="134"/>
      <c r="G6" s="94"/>
      <c r="H6" s="94"/>
      <c r="I6" s="94"/>
      <c r="J6" s="94"/>
    </row>
    <row r="7" spans="2:27" ht="18" customHeight="1" x14ac:dyDescent="0.25">
      <c r="B7" s="135" t="s">
        <v>75</v>
      </c>
      <c r="C7" s="116" t="s">
        <v>95</v>
      </c>
      <c r="D7" s="117" t="s">
        <v>165</v>
      </c>
      <c r="E7" s="117" t="s">
        <v>312</v>
      </c>
      <c r="F7" s="136" t="s">
        <v>264</v>
      </c>
      <c r="G7" s="94"/>
      <c r="J7" s="94"/>
    </row>
    <row r="8" spans="2:27" x14ac:dyDescent="0.25">
      <c r="B8" s="137" t="e" vm="26">
        <v>#VALUE!</v>
      </c>
      <c r="C8" s="122" t="str">
        <f>VLOOKUP(B8,Table1[],2,FALSE)</f>
        <v>Large Cap Senior</v>
      </c>
      <c r="D8" s="114">
        <f>VLOOKUP(B8,Table1[],4,FALSE)</f>
        <v>31893.98</v>
      </c>
      <c r="E8" s="146">
        <f>VLOOKUP(B8,Table1[],24,FALSE)</f>
        <v>0</v>
      </c>
      <c r="F8" s="144">
        <f>VLOOKUP(B8,Table2[],38,FALSE)</f>
        <v>71.8</v>
      </c>
      <c r="G8" s="94"/>
      <c r="J8" s="94"/>
    </row>
    <row r="9" spans="2:27" x14ac:dyDescent="0.25">
      <c r="B9" s="137" t="e" vm="10">
        <v>#VALUE!</v>
      </c>
      <c r="C9" s="122" t="str">
        <f>VLOOKUP(B9,Table1[],2,FALSE)</f>
        <v>Small Cap Junior</v>
      </c>
      <c r="D9" s="114">
        <f>VLOOKUP(B9,Table1[],4,FALSE)</f>
        <v>1348.1859999999999</v>
      </c>
      <c r="E9" s="146">
        <f>VLOOKUP(B9,Table1[],24,FALSE)</f>
        <v>0.5605</v>
      </c>
      <c r="F9" s="144">
        <f>VLOOKUP(B9,Table2[],38,FALSE)</f>
        <v>77.17</v>
      </c>
      <c r="G9" s="94"/>
      <c r="J9" s="94"/>
    </row>
    <row r="10" spans="2:27" x14ac:dyDescent="0.25">
      <c r="B10" s="137" t="e" vm="13">
        <v>#VALUE!</v>
      </c>
      <c r="C10" s="122" t="str">
        <f>VLOOKUP(B10,Table1[],2,FALSE)</f>
        <v>Small Cap Junior</v>
      </c>
      <c r="D10" s="114">
        <f>VLOOKUP(B10,Table1[],4,FALSE)</f>
        <v>378.41660000000002</v>
      </c>
      <c r="E10" s="146">
        <f>VLOOKUP(B10,Table1[],24,FALSE)</f>
        <v>0.74</v>
      </c>
      <c r="F10" s="144">
        <f>VLOOKUP(B10,Table2[],38,FALSE)</f>
        <v>69.291951219512185</v>
      </c>
      <c r="G10" s="94"/>
      <c r="J10" s="94"/>
    </row>
    <row r="11" spans="2:27" x14ac:dyDescent="0.25">
      <c r="B11" s="137" t="e" vm="9">
        <v>#VALUE!</v>
      </c>
      <c r="C11" s="122" t="str">
        <f>VLOOKUP(B11,Table1[],2,FALSE)</f>
        <v>Small Cap Junior</v>
      </c>
      <c r="D11" s="114">
        <f>VLOOKUP(B11,Table1[],4,FALSE)</f>
        <v>97.313829999999996</v>
      </c>
      <c r="E11" s="146">
        <f>VLOOKUP(B11,Table1[],24,FALSE)</f>
        <v>0.89</v>
      </c>
      <c r="F11" s="144">
        <f>VLOOKUP(B11,Table2[],38,FALSE)</f>
        <v>77.17</v>
      </c>
      <c r="G11" s="94"/>
      <c r="H11" s="94"/>
      <c r="I11" s="94"/>
      <c r="J11" s="94"/>
    </row>
    <row r="12" spans="2:27" x14ac:dyDescent="0.25">
      <c r="B12" s="137" t="e" vm="20">
        <v>#VALUE!</v>
      </c>
      <c r="C12" s="122" t="str">
        <f>VLOOKUP(B12,Table1[],2,FALSE)</f>
        <v>Small Cap Junior</v>
      </c>
      <c r="D12" s="114">
        <f>VLOOKUP(B12,Table1[],4,FALSE)</f>
        <v>1587.5340000000001</v>
      </c>
      <c r="E12" s="146">
        <f>VLOOKUP(B12,Table1[],24,FALSE)</f>
        <v>2.19</v>
      </c>
      <c r="F12" s="144">
        <f>VLOOKUP(B12,Table2[],38,FALSE)</f>
        <v>69.176892253511355</v>
      </c>
      <c r="G12" s="94"/>
      <c r="H12" s="94"/>
      <c r="I12" s="94"/>
      <c r="J12" s="94"/>
    </row>
    <row r="13" spans="2:27" x14ac:dyDescent="0.25">
      <c r="B13" s="137" t="e" vm="23">
        <v>#VALUE!</v>
      </c>
      <c r="C13" s="122" t="str">
        <f>VLOOKUP(B13,Table1[],2,FALSE)</f>
        <v>Small Cap Senior</v>
      </c>
      <c r="D13" s="114">
        <f>VLOOKUP(B13,Table1[],4,FALSE)</f>
        <v>1291.5509999999999</v>
      </c>
      <c r="E13" s="146">
        <f>VLOOKUP(B13,Table1[],24,FALSE)</f>
        <v>2.2400000000000002</v>
      </c>
      <c r="F13" s="144">
        <f>VLOOKUP(B13,Table2[],38,FALSE)</f>
        <v>67.239999999999995</v>
      </c>
      <c r="G13" s="94"/>
      <c r="H13" s="94"/>
      <c r="I13" s="94"/>
    </row>
    <row r="14" spans="2:27" x14ac:dyDescent="0.25">
      <c r="B14" s="137" t="e" vm="12">
        <v>#VALUE!</v>
      </c>
      <c r="C14" s="122" t="str">
        <f>VLOOKUP(B14,Table1[],2,FALSE)</f>
        <v>Small Cap Junior</v>
      </c>
      <c r="D14" s="114">
        <f>VLOOKUP(B14,Table1[],4,FALSE)</f>
        <v>857.61599999999999</v>
      </c>
      <c r="E14" s="146">
        <f>VLOOKUP(B14,Table1[],24,FALSE)</f>
        <v>2.4</v>
      </c>
      <c r="F14" s="144">
        <f>VLOOKUP(B14,Table2[],38,FALSE)</f>
        <v>65</v>
      </c>
      <c r="G14" s="94"/>
      <c r="H14" s="94"/>
      <c r="I14" s="94"/>
      <c r="J14" s="94"/>
    </row>
    <row r="15" spans="2:27" x14ac:dyDescent="0.25">
      <c r="B15" s="137" t="e" vm="15">
        <v>#VALUE!</v>
      </c>
      <c r="C15" s="122" t="str">
        <f>VLOOKUP(B15,Table1[],2,FALSE)</f>
        <v>Small Cap Junior</v>
      </c>
      <c r="D15" s="114">
        <f>VLOOKUP(B15,Table1[],4,FALSE)</f>
        <v>1104.8869999999999</v>
      </c>
      <c r="E15" s="146">
        <f>VLOOKUP(B15,Table1[],24,FALSE)</f>
        <v>2.5819999999999999</v>
      </c>
      <c r="F15" s="144">
        <f>VLOOKUP(B15,Table2[],38,FALSE)</f>
        <v>58.340756756756761</v>
      </c>
      <c r="G15" s="94"/>
      <c r="H15" s="94"/>
      <c r="I15" s="94"/>
      <c r="J15" s="94"/>
    </row>
    <row r="16" spans="2:27" x14ac:dyDescent="0.25">
      <c r="B16" s="137" t="e" vm="19">
        <v>#VALUE!</v>
      </c>
      <c r="C16" s="122" t="str">
        <f>VLOOKUP(B16,Table1[],2,FALSE)</f>
        <v>Mid Cap Senior</v>
      </c>
      <c r="D16" s="114">
        <f>VLOOKUP(B16,Table1[],4,FALSE)</f>
        <v>2039.2380000000001</v>
      </c>
      <c r="E16" s="146">
        <f>VLOOKUP(B16,Table1[],24,FALSE)</f>
        <v>3.6</v>
      </c>
      <c r="F16" s="144">
        <f>VLOOKUP(B16,Table2[],38,FALSE)</f>
        <v>81</v>
      </c>
      <c r="G16" s="94"/>
      <c r="H16" s="94"/>
      <c r="I16" s="94"/>
      <c r="J16" s="94"/>
    </row>
    <row r="17" spans="2:10" x14ac:dyDescent="0.25">
      <c r="B17" s="137" t="e" vm="14">
        <v>#VALUE!</v>
      </c>
      <c r="C17" s="122" t="str">
        <f>VLOOKUP(B17,Table1[],2,FALSE)</f>
        <v>Small Cap Junior</v>
      </c>
      <c r="D17" s="114">
        <f>VLOOKUP(B17,Table1[],4,FALSE)</f>
        <v>469.94389999999999</v>
      </c>
      <c r="E17" s="146">
        <f>VLOOKUP(B17,Table1[],24,FALSE)</f>
        <v>4.4000000000000004</v>
      </c>
      <c r="F17" s="144">
        <f>VLOOKUP(B17,Table2[],38,FALSE)</f>
        <v>75</v>
      </c>
      <c r="G17" s="94"/>
      <c r="H17" s="94"/>
      <c r="I17" s="94"/>
      <c r="J17" s="94"/>
    </row>
    <row r="18" spans="2:10" x14ac:dyDescent="0.25">
      <c r="B18" s="137" t="e" vm="16">
        <v>#VALUE!</v>
      </c>
      <c r="C18" s="122" t="str">
        <f>VLOOKUP(B18,Table1[],2,FALSE)</f>
        <v>Small Cap Senior</v>
      </c>
      <c r="D18" s="114">
        <f>VLOOKUP(B18,Table1[],4,FALSE)</f>
        <v>2138.19</v>
      </c>
      <c r="E18" s="146">
        <f>VLOOKUP(B18,Table1[],24,FALSE)</f>
        <v>4.8159999999999998</v>
      </c>
      <c r="F18" s="144">
        <f>VLOOKUP(B18,Table2[],38,FALSE)</f>
        <v>61.54</v>
      </c>
      <c r="G18" s="94"/>
      <c r="H18" s="94"/>
      <c r="I18" s="94"/>
      <c r="J18" s="94"/>
    </row>
    <row r="19" spans="2:10" x14ac:dyDescent="0.25">
      <c r="B19" s="137" t="e" vm="11">
        <v>#VALUE!</v>
      </c>
      <c r="C19" s="122" t="str">
        <f>VLOOKUP(B19,Table1[],2,FALSE)</f>
        <v>Small Cap Junior</v>
      </c>
      <c r="D19" s="114">
        <f>VLOOKUP(B19,Table1[],4,FALSE)</f>
        <v>126.8386</v>
      </c>
      <c r="E19" s="146">
        <f>VLOOKUP(B19,Table1[],24,FALSE)</f>
        <v>5.2</v>
      </c>
      <c r="F19" s="144">
        <f>VLOOKUP(B19,Table2[],38,FALSE)</f>
        <v>77.27</v>
      </c>
      <c r="G19" s="94"/>
      <c r="H19" s="94"/>
      <c r="I19" s="94"/>
      <c r="J19" s="94"/>
    </row>
    <row r="20" spans="2:10" x14ac:dyDescent="0.25">
      <c r="B20" s="137" t="e" vm="21">
        <v>#VALUE!</v>
      </c>
      <c r="C20" s="122" t="str">
        <f>VLOOKUP(B20,Table1[],2,FALSE)</f>
        <v>Small Cap Senior</v>
      </c>
      <c r="D20" s="114">
        <f>VLOOKUP(B20,Table1[],4,FALSE)</f>
        <v>1932.4259999999999</v>
      </c>
      <c r="E20" s="146">
        <f>VLOOKUP(B20,Table1[],24,FALSE)</f>
        <v>5.3760000000000003</v>
      </c>
      <c r="F20" s="144">
        <f>VLOOKUP(B20,Table2[],38,FALSE)</f>
        <v>73.572779317647061</v>
      </c>
      <c r="G20" s="94"/>
      <c r="H20" s="94"/>
      <c r="I20" s="94"/>
      <c r="J20" s="94"/>
    </row>
    <row r="21" spans="2:10" x14ac:dyDescent="0.25">
      <c r="B21" s="137" t="e" vm="31">
        <v>#VALUE!</v>
      </c>
      <c r="C21" s="122" t="str">
        <f>VLOOKUP(B21,Table1[],2,FALSE)</f>
        <v>Mid Cap Senior</v>
      </c>
      <c r="D21" s="114">
        <f>VLOOKUP(B21,Table1[],4,FALSE)</f>
        <v>6529.8580000000002</v>
      </c>
      <c r="E21" s="146">
        <f>VLOOKUP(B21,Table1[],24,FALSE)</f>
        <v>5.82</v>
      </c>
      <c r="F21" s="144">
        <f>VLOOKUP(B21,Table2[],38,FALSE)</f>
        <v>45.354572834994777</v>
      </c>
      <c r="G21" s="94"/>
      <c r="H21" s="94"/>
      <c r="I21" s="94"/>
      <c r="J21" s="94"/>
    </row>
    <row r="22" spans="2:10" x14ac:dyDescent="0.25">
      <c r="B22" s="137" t="e" vm="24">
        <v>#VALUE!</v>
      </c>
      <c r="C22" s="122" t="str">
        <f>VLOOKUP(B22,Table1[],2,FALSE)</f>
        <v>Small Cap Senior</v>
      </c>
      <c r="D22" s="114">
        <f>VLOOKUP(B22,Table1[],4,FALSE)</f>
        <v>1583.9780000000001</v>
      </c>
      <c r="E22" s="146">
        <f>VLOOKUP(B22,Table1[],24,FALSE)</f>
        <v>7.25</v>
      </c>
      <c r="F22" s="144">
        <f>VLOOKUP(B22,Table2[],38,FALSE)</f>
        <v>70</v>
      </c>
      <c r="G22" s="94"/>
      <c r="H22" s="94"/>
      <c r="I22" s="94"/>
      <c r="J22" s="94"/>
    </row>
    <row r="23" spans="2:10" x14ac:dyDescent="0.25">
      <c r="B23" s="137" t="e" vm="30">
        <v>#VALUE!</v>
      </c>
      <c r="C23" s="122" t="str">
        <f>VLOOKUP(B23,Table1[],2,FALSE)</f>
        <v>Mid Cap Senior</v>
      </c>
      <c r="D23" s="114">
        <f>VLOOKUP(B23,Table1[],4,FALSE)</f>
        <v>5471.223</v>
      </c>
      <c r="E23" s="146">
        <f>VLOOKUP(B23,Table1[],24,FALSE)</f>
        <v>7.8</v>
      </c>
      <c r="F23" s="144">
        <f>VLOOKUP(B23,Table2[],38,FALSE)</f>
        <v>66.715699999999998</v>
      </c>
      <c r="G23" s="94"/>
      <c r="H23" s="94"/>
      <c r="I23" s="94"/>
      <c r="J23" s="94"/>
    </row>
    <row r="24" spans="2:10" x14ac:dyDescent="0.25">
      <c r="B24" s="137" t="e" vm="22">
        <v>#VALUE!</v>
      </c>
      <c r="C24" s="122" t="str">
        <f>VLOOKUP(B24,Table1[],2,FALSE)</f>
        <v>Mid Cap Senior</v>
      </c>
      <c r="D24" s="114">
        <f>VLOOKUP(B24,Table1[],4,FALSE)</f>
        <v>3750.355</v>
      </c>
      <c r="E24" s="146">
        <f>VLOOKUP(B24,Table1[],24,FALSE)</f>
        <v>9.7260000000000009</v>
      </c>
      <c r="F24" s="144">
        <f>VLOOKUP(B24,Table2[],38,FALSE)</f>
        <v>74.234820982514577</v>
      </c>
      <c r="G24" s="94"/>
      <c r="H24" s="94"/>
      <c r="I24" s="94"/>
      <c r="J24" s="94"/>
    </row>
    <row r="25" spans="2:10" x14ac:dyDescent="0.25">
      <c r="B25" s="137" t="e" vm="29">
        <v>#VALUE!</v>
      </c>
      <c r="C25" s="122" t="str">
        <f>VLOOKUP(B25,Table1[],2,FALSE)</f>
        <v>Mid Cap Senior</v>
      </c>
      <c r="D25" s="114">
        <f>VLOOKUP(B25,Table1[],4,FALSE)</f>
        <v>2859.0729999999999</v>
      </c>
      <c r="E25" s="146">
        <f>VLOOKUP(B25,Table1[],24,FALSE)</f>
        <v>11.086</v>
      </c>
      <c r="F25" s="144">
        <f>VLOOKUP(B25,Table2[],38,FALSE)</f>
        <v>73.357142857142861</v>
      </c>
      <c r="G25" s="94"/>
      <c r="H25" s="94"/>
      <c r="I25" s="94"/>
      <c r="J25" s="94"/>
    </row>
    <row r="26" spans="2:10" x14ac:dyDescent="0.25">
      <c r="B26" s="137" t="e" vm="17">
        <v>#VALUE!</v>
      </c>
      <c r="C26" s="122" t="str">
        <f>VLOOKUP(B26,Table1[],2,FALSE)</f>
        <v>Small Cap Junior</v>
      </c>
      <c r="D26" s="114">
        <f>VLOOKUP(B26,Table1[],4,FALSE)</f>
        <v>673.53470000000004</v>
      </c>
      <c r="E26" s="146">
        <f>VLOOKUP(B26,Table1[],24,FALSE)</f>
        <v>11.811</v>
      </c>
      <c r="F26" s="144">
        <f>VLOOKUP(B26,Table2[],38,FALSE)</f>
        <v>79.146907216494839</v>
      </c>
      <c r="G26" s="94"/>
      <c r="H26" s="94"/>
      <c r="I26" s="94"/>
      <c r="J26" s="94"/>
    </row>
    <row r="27" spans="2:10" x14ac:dyDescent="0.25">
      <c r="B27" s="139" t="e" vm="27">
        <v>#VALUE!</v>
      </c>
      <c r="C27" s="122" t="str">
        <f>VLOOKUP(B27,Table1[],2,FALSE)</f>
        <v>Small Cap Junior</v>
      </c>
      <c r="D27" s="114">
        <f>VLOOKUP(B27,Table1[],4,FALSE)</f>
        <v>2256.4760000000001</v>
      </c>
      <c r="E27" s="146">
        <f>VLOOKUP(B27,Table1[],24,FALSE)</f>
        <v>12.7</v>
      </c>
      <c r="F27" s="144">
        <f>VLOOKUP(B27,Table2[],38,FALSE)</f>
        <v>63.12</v>
      </c>
      <c r="G27" s="94"/>
      <c r="H27" s="94"/>
      <c r="I27" s="94"/>
      <c r="J27" s="94"/>
    </row>
    <row r="28" spans="2:10" x14ac:dyDescent="0.25">
      <c r="B28" s="137" t="e" vm="25">
        <v>#VALUE!</v>
      </c>
      <c r="C28" s="122" t="str">
        <f>VLOOKUP(B28,Table1[],2,FALSE)</f>
        <v>Small Cap Senior</v>
      </c>
      <c r="D28" s="114">
        <f>VLOOKUP(B28,Table1[],4,FALSE)</f>
        <v>1990.627</v>
      </c>
      <c r="E28" s="146">
        <f>VLOOKUP(B28,Table1[],24,FALSE)</f>
        <v>16.359000000000002</v>
      </c>
      <c r="F28" s="144">
        <f>VLOOKUP(B28,Table2[],38,FALSE)</f>
        <v>78.540656326695853</v>
      </c>
      <c r="G28" s="94"/>
      <c r="H28" s="94"/>
      <c r="I28" s="94"/>
      <c r="J28" s="94"/>
    </row>
    <row r="29" spans="2:10" x14ac:dyDescent="0.25">
      <c r="B29" s="137" t="e" vm="28">
        <v>#VALUE!</v>
      </c>
      <c r="C29" s="122" t="str">
        <f>VLOOKUP(B29,Table1[],2,FALSE)</f>
        <v>Small Cap Senior</v>
      </c>
      <c r="D29" s="114">
        <f>VLOOKUP(B29,Table1[],4,FALSE)</f>
        <v>2010.328</v>
      </c>
      <c r="E29" s="146">
        <f>VLOOKUP(B29,Table1[],24,FALSE)</f>
        <v>16.706</v>
      </c>
      <c r="F29" s="144">
        <f>VLOOKUP(B29,Table2[],38,FALSE)</f>
        <v>67.902739726027406</v>
      </c>
      <c r="G29" s="94"/>
      <c r="H29" s="94"/>
      <c r="I29" s="94"/>
      <c r="J29" s="94"/>
    </row>
    <row r="30" spans="2:10" x14ac:dyDescent="0.25">
      <c r="B30" s="137" t="e" vm="32">
        <v>#VALUE!</v>
      </c>
      <c r="C30" s="122" t="str">
        <f>VLOOKUP(B30,Table1[],2,FALSE)</f>
        <v>Large Cap Senior</v>
      </c>
      <c r="D30" s="114">
        <f>VLOOKUP(B30,Table1[],4,FALSE)</f>
        <v>15191.53</v>
      </c>
      <c r="E30" s="146">
        <f>VLOOKUP(B30,Table1[],24,FALSE)</f>
        <v>20.47</v>
      </c>
      <c r="F30" s="144">
        <f>VLOOKUP(B30,Table2[],38,FALSE)</f>
        <v>70.416270400711241</v>
      </c>
      <c r="G30" s="94"/>
      <c r="H30" s="94"/>
      <c r="I30" s="94"/>
      <c r="J30" s="94"/>
    </row>
    <row r="31" spans="2:10" x14ac:dyDescent="0.25">
      <c r="B31" s="137" t="e" vm="33">
        <v>#VALUE!</v>
      </c>
      <c r="C31" s="122" t="str">
        <f>VLOOKUP(B31,Table1[],2,FALSE)</f>
        <v>Large Cap Senior</v>
      </c>
      <c r="D31" s="114">
        <f>VLOOKUP(B31,Table1[],4,FALSE)</f>
        <v>17240.53</v>
      </c>
      <c r="E31" s="146">
        <f>VLOOKUP(B31,Table1[],24,FALSE)</f>
        <v>21.585000000000001</v>
      </c>
      <c r="F31" s="144">
        <f>VLOOKUP(B31,Table2[],38,FALSE)</f>
        <v>74.853145400593462</v>
      </c>
      <c r="G31" s="94"/>
      <c r="H31" s="94"/>
      <c r="I31" s="94"/>
      <c r="J31" s="94"/>
    </row>
    <row r="32" spans="2:10" x14ac:dyDescent="0.25">
      <c r="B32" s="137" t="e" vm="34">
        <v>#VALUE!</v>
      </c>
      <c r="C32" s="122" t="str">
        <f>VLOOKUP(B32,Table1[],2,FALSE)</f>
        <v>Mid Cap Senior</v>
      </c>
      <c r="D32" s="114">
        <f>VLOOKUP(B32,Table1[],4,FALSE)</f>
        <v>10860.91</v>
      </c>
      <c r="E32" s="146">
        <f>VLOOKUP(B32,Table1[],24,FALSE)</f>
        <v>24.3</v>
      </c>
      <c r="F32" s="144">
        <f>VLOOKUP(B32,Table2[],38,FALSE)</f>
        <v>70.135273267521782</v>
      </c>
      <c r="G32" s="94"/>
      <c r="H32" s="94"/>
      <c r="I32" s="94"/>
      <c r="J32" s="94"/>
    </row>
    <row r="33" spans="2:10" x14ac:dyDescent="0.25">
      <c r="B33" s="137" t="e" vm="18">
        <v>#VALUE!</v>
      </c>
      <c r="C33" s="122" t="str">
        <f>VLOOKUP(B33,Table1[],2,FALSE)</f>
        <v>Small Cap Senior</v>
      </c>
      <c r="D33" s="114">
        <f>VLOOKUP(B33,Table1[],4,FALSE)</f>
        <v>1179.777</v>
      </c>
      <c r="E33" s="146">
        <f>VLOOKUP(B33,Table1[],24,FALSE)</f>
        <v>25.341000000000001</v>
      </c>
      <c r="F33" s="144">
        <f>VLOOKUP(B33,Table2[],38,FALSE)</f>
        <v>63.253588516746404</v>
      </c>
      <c r="G33" s="94"/>
      <c r="H33" s="94"/>
      <c r="I33" s="94"/>
      <c r="J33" s="94"/>
    </row>
    <row r="34" spans="2:10" x14ac:dyDescent="0.25">
      <c r="B34" s="137" t="e" vm="35">
        <v>#VALUE!</v>
      </c>
      <c r="C34" s="122" t="str">
        <f>VLOOKUP(B34,Table1[],2,FALSE)</f>
        <v>Mid Cap Senior</v>
      </c>
      <c r="D34" s="114">
        <f>VLOOKUP(B34,Table1[],4,FALSE)</f>
        <v>8714.4380000000001</v>
      </c>
      <c r="E34" s="146">
        <f>VLOOKUP(B34,Table1[],24,FALSE)</f>
        <v>27</v>
      </c>
      <c r="F34" s="144">
        <f>VLOOKUP(B34,Table2[],38,FALSE)</f>
        <v>65.737609876543203</v>
      </c>
      <c r="G34" s="94"/>
      <c r="H34" s="94"/>
      <c r="I34" s="94"/>
      <c r="J34" s="94"/>
    </row>
    <row r="35" spans="2:10" x14ac:dyDescent="0.25">
      <c r="B35" s="137" t="e" vm="37">
        <v>#VALUE!</v>
      </c>
      <c r="C35" s="122" t="str">
        <f>VLOOKUP(B35,Table1[],2,FALSE)</f>
        <v>Large Cap Senior</v>
      </c>
      <c r="D35" s="114">
        <f>VLOOKUP(B35,Table1[],4,FALSE)</f>
        <v>48281.46</v>
      </c>
      <c r="E35" s="146">
        <f>VLOOKUP(B35,Table1[],24,FALSE)</f>
        <v>65.400000000000006</v>
      </c>
      <c r="F35" s="144">
        <f>VLOOKUP(B35,Table2[],38,FALSE)</f>
        <v>76.067219167321298</v>
      </c>
      <c r="G35" s="94"/>
      <c r="H35" s="94"/>
      <c r="I35" s="94"/>
      <c r="J35" s="94"/>
    </row>
    <row r="36" spans="2:10" x14ac:dyDescent="0.25">
      <c r="B36" s="140" t="e" vm="36">
        <v>#VALUE!</v>
      </c>
      <c r="C36" s="111" t="str">
        <f>VLOOKUP(B36,Table1[],2,FALSE)</f>
        <v>Large Cap Senior</v>
      </c>
      <c r="D36" s="143">
        <f>VLOOKUP(B36,Table1[],4,FALSE)</f>
        <v>59864.49</v>
      </c>
      <c r="E36" s="147">
        <f>VLOOKUP(B36,Table1[],24,FALSE)</f>
        <v>71</v>
      </c>
      <c r="F36" s="145">
        <f>VLOOKUP(B36,Table2[],38,FALSE)</f>
        <v>58.549534820824881</v>
      </c>
      <c r="G36" s="94"/>
      <c r="H36" s="94"/>
      <c r="I36" s="94"/>
      <c r="J36" s="94"/>
    </row>
    <row r="37" spans="2:10" x14ac:dyDescent="0.25">
      <c r="B37" s="93"/>
      <c r="C37" s="93"/>
      <c r="D37" s="102"/>
      <c r="E37" s="102"/>
      <c r="F37" s="102"/>
      <c r="G37" s="94"/>
      <c r="H37" s="94"/>
      <c r="I37" s="94"/>
      <c r="J37" s="94"/>
    </row>
    <row r="38" spans="2:10" x14ac:dyDescent="0.25">
      <c r="B38" s="93"/>
      <c r="C38" s="93"/>
      <c r="D38" s="102"/>
      <c r="E38" s="102"/>
      <c r="F38" s="102"/>
      <c r="G38" s="94"/>
      <c r="H38" s="94"/>
      <c r="I38" s="94"/>
      <c r="J38" s="94"/>
    </row>
    <row r="39" spans="2:10" x14ac:dyDescent="0.25">
      <c r="B39" s="93"/>
      <c r="C39" s="93"/>
      <c r="D39" s="102"/>
      <c r="E39" s="102"/>
      <c r="F39" s="102"/>
      <c r="G39" s="94"/>
      <c r="H39" s="94"/>
      <c r="I39" s="94"/>
      <c r="J39" s="94"/>
    </row>
    <row r="40" spans="2:10" x14ac:dyDescent="0.25">
      <c r="B40" s="93"/>
      <c r="C40" s="93"/>
      <c r="D40" s="102"/>
      <c r="E40" s="102"/>
      <c r="F40" s="102"/>
      <c r="G40" s="94"/>
      <c r="H40" s="94"/>
      <c r="I40" s="94"/>
      <c r="J40" s="94"/>
    </row>
    <row r="41" spans="2:10" x14ac:dyDescent="0.25">
      <c r="B41" s="93"/>
      <c r="C41" s="93"/>
      <c r="D41" s="102"/>
      <c r="E41" s="102"/>
      <c r="F41" s="102"/>
      <c r="G41" s="94"/>
      <c r="H41" s="94"/>
      <c r="I41" s="94"/>
      <c r="J41" s="94"/>
    </row>
    <row r="42" spans="2:10" x14ac:dyDescent="0.25">
      <c r="B42" s="93"/>
      <c r="C42" s="93"/>
      <c r="D42" s="102"/>
      <c r="E42" s="102"/>
      <c r="F42" s="102"/>
      <c r="G42" s="94"/>
      <c r="H42" s="94"/>
      <c r="I42" s="94"/>
      <c r="J42" s="94"/>
    </row>
    <row r="43" spans="2:10" x14ac:dyDescent="0.25">
      <c r="B43" s="93"/>
      <c r="C43" s="93"/>
      <c r="D43" s="102"/>
      <c r="E43" s="102"/>
      <c r="F43" s="102"/>
      <c r="G43" s="94"/>
      <c r="H43" s="94"/>
      <c r="I43" s="94"/>
      <c r="J43" s="94"/>
    </row>
  </sheetData>
  <mergeCells count="2">
    <mergeCell ref="B1:J1"/>
    <mergeCell ref="Y1:AA1"/>
  </mergeCells>
  <pageMargins left="0.7" right="0.7" top="0.75" bottom="0.75" header="0.3" footer="0.3"/>
  <pageSetup orientation="portrait" horizontalDpi="0"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0557C-48B9-4CC2-B453-400170251EDA}">
  <sheetPr codeName="Sheet6"/>
  <dimension ref="A1:S34"/>
  <sheetViews>
    <sheetView workbookViewId="0">
      <selection activeCell="E6" sqref="E6"/>
    </sheetView>
  </sheetViews>
  <sheetFormatPr defaultRowHeight="15" x14ac:dyDescent="0.25"/>
  <cols>
    <col min="1" max="1" width="19" style="1" bestFit="1" customWidth="1"/>
    <col min="2" max="3" width="11" style="1" customWidth="1"/>
    <col min="4" max="4" width="39.7109375" style="1" bestFit="1" customWidth="1"/>
    <col min="5" max="5" width="12.7109375" style="1" bestFit="1" customWidth="1"/>
    <col min="6" max="6" width="15.7109375" style="1" bestFit="1" customWidth="1"/>
    <col min="7" max="7" width="38" style="1" bestFit="1" customWidth="1"/>
    <col min="8" max="8" width="9.28515625" style="1" customWidth="1"/>
    <col min="9" max="9" width="34.28515625" style="1" bestFit="1" customWidth="1"/>
    <col min="10" max="10" width="34.28515625" style="1" customWidth="1"/>
    <col min="11" max="11" width="9.140625" style="1"/>
    <col min="12" max="12" width="39.42578125" style="1" bestFit="1" customWidth="1"/>
    <col min="13" max="13" width="9.140625" style="1"/>
    <col min="14" max="14" width="39.42578125" style="1" bestFit="1" customWidth="1"/>
    <col min="15" max="15" width="17.42578125" style="1" bestFit="1" customWidth="1"/>
    <col min="16" max="17" width="9.140625" style="1"/>
    <col min="18" max="18" width="34.5703125" style="1" bestFit="1" customWidth="1"/>
    <col min="19" max="19" width="18" style="1" bestFit="1" customWidth="1"/>
    <col min="20" max="47" width="6" style="1" bestFit="1" customWidth="1"/>
    <col min="48" max="48" width="12.7109375" style="1" bestFit="1" customWidth="1"/>
    <col min="49" max="49" width="34.85546875" style="1" bestFit="1" customWidth="1"/>
    <col min="50" max="50" width="27.42578125" style="1" bestFit="1" customWidth="1"/>
    <col min="51" max="51" width="30.5703125" style="1" bestFit="1" customWidth="1"/>
    <col min="52" max="52" width="31.85546875" style="1" bestFit="1" customWidth="1"/>
    <col min="53" max="53" width="35" style="1" bestFit="1" customWidth="1"/>
    <col min="54" max="54" width="25.85546875" style="1" bestFit="1" customWidth="1"/>
    <col min="55" max="55" width="29" style="1" bestFit="1" customWidth="1"/>
    <col min="56" max="56" width="33.85546875" style="1" bestFit="1" customWidth="1"/>
    <col min="57" max="57" width="37" style="1" bestFit="1" customWidth="1"/>
    <col min="58" max="58" width="33.5703125" style="1" bestFit="1" customWidth="1"/>
    <col min="59" max="59" width="36.7109375" style="1" bestFit="1" customWidth="1"/>
    <col min="60" max="60" width="23.42578125" style="1" bestFit="1" customWidth="1"/>
    <col min="61" max="61" width="26.5703125" style="1" bestFit="1" customWidth="1"/>
    <col min="62" max="62" width="27.85546875" style="1" bestFit="1" customWidth="1"/>
    <col min="63" max="63" width="31" style="1" bestFit="1" customWidth="1"/>
    <col min="64" max="64" width="29.7109375" style="1" bestFit="1" customWidth="1"/>
    <col min="65" max="65" width="32.85546875" style="1" bestFit="1" customWidth="1"/>
    <col min="66" max="66" width="31.85546875" style="1" bestFit="1" customWidth="1"/>
    <col min="67" max="67" width="35" style="1" bestFit="1" customWidth="1"/>
    <col min="68" max="68" width="36" style="1" bestFit="1" customWidth="1"/>
    <col min="69" max="69" width="39.140625" style="1" bestFit="1" customWidth="1"/>
    <col min="70" max="70" width="31.140625" style="1" bestFit="1" customWidth="1"/>
    <col min="71" max="71" width="34.42578125" style="1" bestFit="1" customWidth="1"/>
    <col min="72" max="72" width="38" style="1" bestFit="1" customWidth="1"/>
    <col min="73" max="73" width="41.140625" style="1" bestFit="1" customWidth="1"/>
    <col min="74" max="74" width="27.5703125" style="1" bestFit="1" customWidth="1"/>
    <col min="75" max="75" width="30.7109375" style="1" bestFit="1" customWidth="1"/>
    <col min="76" max="76" width="11.28515625" style="1" bestFit="1" customWidth="1"/>
    <col min="77" max="16384" width="9.140625" style="1"/>
  </cols>
  <sheetData>
    <row r="1" spans="1:19" x14ac:dyDescent="0.25">
      <c r="A1" s="1" t="s">
        <v>291</v>
      </c>
      <c r="D1" s="152"/>
      <c r="E1" s="152"/>
    </row>
    <row r="2" spans="1:19" x14ac:dyDescent="0.25">
      <c r="A2" s="7" t="s">
        <v>293</v>
      </c>
      <c r="B2" s="39" t="s">
        <v>157</v>
      </c>
      <c r="C2" s="39" t="s">
        <v>300</v>
      </c>
      <c r="D2" s="1" t="s">
        <v>293</v>
      </c>
      <c r="E2" s="1" t="s">
        <v>157</v>
      </c>
    </row>
    <row r="3" spans="1:19" x14ac:dyDescent="0.25">
      <c r="A3" s="7" t="s">
        <v>14</v>
      </c>
      <c r="B3" s="9">
        <f>Table6[[#Totals],[Current Ratio]]*0.95</f>
        <v>2.705148554861851</v>
      </c>
      <c r="C3" s="9"/>
      <c r="D3" s="1" t="str">
        <f>'1) Balance Sheet Metrics'!C3</f>
        <v>Current Ratio</v>
      </c>
      <c r="E3" s="9">
        <f>'1) Balance Sheet Metrics'!D3</f>
        <v>2.705148554861851</v>
      </c>
      <c r="G3" s="1">
        <f t="array" ref="G3">MATCH(D3,Table6[#Headers],0)</f>
        <v>3</v>
      </c>
    </row>
    <row r="4" spans="1:19" x14ac:dyDescent="0.25">
      <c r="A4" s="7" t="s">
        <v>15</v>
      </c>
      <c r="B4" s="9">
        <f>Table6[[#Totals],[Cash Ratio]]*0.95</f>
        <v>1.3367585976016507</v>
      </c>
      <c r="C4" s="9"/>
      <c r="D4" s="1" t="s">
        <v>75</v>
      </c>
      <c r="E4" s="1" t="s">
        <v>298</v>
      </c>
      <c r="F4" s="1" t="s">
        <v>299</v>
      </c>
      <c r="G4" s="1" t="s">
        <v>302</v>
      </c>
      <c r="I4" s="7" t="s">
        <v>75</v>
      </c>
      <c r="J4" s="7" t="s">
        <v>95</v>
      </c>
      <c r="K4" s="7" t="s">
        <v>299</v>
      </c>
      <c r="L4" s="7" t="s">
        <v>302</v>
      </c>
      <c r="N4" s="101" t="s">
        <v>75</v>
      </c>
      <c r="O4" s="71" t="s">
        <v>95</v>
      </c>
    </row>
    <row r="5" spans="1:19" x14ac:dyDescent="0.25">
      <c r="A5" s="7" t="s">
        <v>17</v>
      </c>
      <c r="B5" s="9">
        <f>Table6[[#Totals],[Debt-Equity]]*0.95</f>
        <v>0.59049334345336846</v>
      </c>
      <c r="C5" s="9"/>
      <c r="D5" s="96" t="e" vm="1">
        <f t="array" ref="D5:D33">INDEX(Table6[],,1)</f>
        <v>#VALUE!</v>
      </c>
      <c r="E5" s="1" t="b">
        <f t="array" ref="E5:E33">IF(_xlfn.IFS($G$3=3,INDEX(Table6[],,$G$3)&gt;=E3,$G$3=4,INDEX(Table6[],,$G$3),$G$3=5,INDEX(Table6[],,$G$3)&lt;=E3,$G$3=6,INDEX(Table6[],,$G$3)&lt;=E3)&gt;0,_xlfn.IFS($G$3=3,INDEX(Table6[],,$G$3)&gt;=E3,$G$3=4,INDEX(Table6[],,$G$3),$G$3=5,INDEX(Table6[],,$G$3)&lt;=E3,$G$3=6,INDEX(Table6[],,$G$3)&lt;=E3),0)</f>
        <v>1</v>
      </c>
      <c r="F5" s="1">
        <f t="array" ref="F5">IF(E5/1,MATCH(ROW(Table6[Company]),ROW(Table6[Company])),"")</f>
        <v>1</v>
      </c>
      <c r="G5" s="1" t="e" vm="1">
        <f t="array" ref="G5">IF(ISNUMBER(F5),D5,"")</f>
        <v>#VALUE!</v>
      </c>
      <c r="I5" s="99" t="e" vm="1">
        <f t="shared" ref="I5:I33" si="0">D5</f>
        <v>#VALUE!</v>
      </c>
      <c r="J5" s="99" t="str">
        <f>VLOOKUP(Table33[[#This Row],[Company]],Table1[],2,FALSE)</f>
        <v>Small Cap Senior</v>
      </c>
      <c r="K5" s="7">
        <f t="shared" ref="K5:K33" si="1">F5</f>
        <v>1</v>
      </c>
      <c r="L5" s="1" t="e" vm="1">
        <f t="shared" ref="L5:L33" si="2">G5</f>
        <v>#VALUE!</v>
      </c>
      <c r="N5" s="1" t="e" cm="1" vm="1">
        <f t="array" ref="N5:N12">_xlfn.UNIQUE(_xlfn._xlws.FILTER(Table33[Combined],Table33[Combined]&lt;&gt;""))</f>
        <v>#VALUE!</v>
      </c>
      <c r="O5" s="100" t="str">
        <f>VLOOKUP(Table33[[#This Row],[Company]],Table1[],2,FALSE)</f>
        <v>Small Cap Senior</v>
      </c>
    </row>
    <row r="6" spans="1:19" x14ac:dyDescent="0.25">
      <c r="A6" s="7" t="s">
        <v>18</v>
      </c>
      <c r="B6" s="9">
        <f>Table6[[#Totals],[Debt-Assest]]*0.95</f>
        <v>0.32884279232491914</v>
      </c>
      <c r="C6" s="9"/>
      <c r="D6" s="96" t="e" vm="2">
        <v>#VALUE!</v>
      </c>
      <c r="E6" s="1" t="b">
        <v>1</v>
      </c>
      <c r="F6" s="1">
        <f t="array" ref="F6">IF(E6/1,MATCH(ROW(Table6[Company]),ROW(Table6[Company])),"")</f>
        <v>1</v>
      </c>
      <c r="G6" s="1" t="e" vm="2">
        <f t="array" ref="G6">IF(ISNUMBER(F6),D6,"")</f>
        <v>#VALUE!</v>
      </c>
      <c r="I6" s="99" t="e" vm="2">
        <f t="shared" si="0"/>
        <v>#VALUE!</v>
      </c>
      <c r="J6" s="99" t="str">
        <f>VLOOKUP(Table33[[#This Row],[Company]],Table1[],2,FALSE)</f>
        <v>Large Cap Senior</v>
      </c>
      <c r="K6" s="7">
        <f t="shared" si="1"/>
        <v>1</v>
      </c>
      <c r="L6" s="1" t="e" vm="2">
        <f t="shared" si="2"/>
        <v>#VALUE!</v>
      </c>
      <c r="N6" s="1" t="e" vm="2">
        <v>#VALUE!</v>
      </c>
      <c r="O6" s="100" t="str">
        <f>VLOOKUP(Table33[[#This Row],[Company]],Table1[],2,FALSE)</f>
        <v>Large Cap Senior</v>
      </c>
    </row>
    <row r="7" spans="1:19" x14ac:dyDescent="0.25">
      <c r="D7" s="96" t="e" vm="3">
        <v>#VALUE!</v>
      </c>
      <c r="E7" s="1" t="b">
        <v>1</v>
      </c>
      <c r="F7" s="1">
        <f t="array" ref="F7">IF(E7/1,MATCH(ROW(Table6[Company]),ROW(Table6[Company])),"")</f>
        <v>1</v>
      </c>
      <c r="G7" s="1" t="e" vm="3">
        <f t="array" ref="G7">IF(ISNUMBER(F7),D7,"")</f>
        <v>#VALUE!</v>
      </c>
      <c r="I7" s="99" t="e" vm="3">
        <f t="shared" si="0"/>
        <v>#VALUE!</v>
      </c>
      <c r="J7" s="99" t="str">
        <f>VLOOKUP(Table33[[#This Row],[Company]],Table1[],2,FALSE)</f>
        <v>Small Cap Senior</v>
      </c>
      <c r="K7" s="7">
        <f t="shared" si="1"/>
        <v>1</v>
      </c>
      <c r="L7" s="1" t="e" vm="3">
        <f t="shared" si="2"/>
        <v>#VALUE!</v>
      </c>
      <c r="N7" s="1" t="e" vm="3">
        <v>#VALUE!</v>
      </c>
      <c r="O7" s="100" t="str">
        <f>VLOOKUP(Table33[[#This Row],[Company]],Table1[],2,FALSE)</f>
        <v>Small Cap Senior</v>
      </c>
    </row>
    <row r="8" spans="1:19" x14ac:dyDescent="0.25">
      <c r="A8" s="1" t="s">
        <v>96</v>
      </c>
      <c r="D8" s="96" t="e" vm="4">
        <v>#VALUE!</v>
      </c>
      <c r="E8" s="1" t="b">
        <v>1</v>
      </c>
      <c r="F8" s="1">
        <f t="array" ref="F8">IF(E8/1,MATCH(ROW(Table6[Company]),ROW(Table6[Company])),"")</f>
        <v>1</v>
      </c>
      <c r="G8" s="1" t="e" vm="4">
        <f t="array" ref="G8">IF(ISNUMBER(F8),D8,"")</f>
        <v>#VALUE!</v>
      </c>
      <c r="I8" s="99" t="e" vm="4">
        <f t="shared" si="0"/>
        <v>#VALUE!</v>
      </c>
      <c r="J8" s="99" t="str">
        <f>VLOOKUP(Table33[[#This Row],[Company]],Table1[],2,FALSE)</f>
        <v>Small Cap Senior</v>
      </c>
      <c r="K8" s="7">
        <f t="shared" si="1"/>
        <v>1</v>
      </c>
      <c r="L8" s="1" t="e" vm="4">
        <f t="shared" si="2"/>
        <v>#VALUE!</v>
      </c>
      <c r="N8" s="1" t="e" vm="4">
        <v>#VALUE!</v>
      </c>
      <c r="O8" s="100" t="str">
        <f>VLOOKUP(Table33[[#This Row],[Company]],Table1[],2,FALSE)</f>
        <v>Small Cap Senior</v>
      </c>
    </row>
    <row r="9" spans="1:19" x14ac:dyDescent="0.25">
      <c r="A9" s="1" t="s">
        <v>97</v>
      </c>
      <c r="D9" s="96" t="e" vm="5">
        <v>#VALUE!</v>
      </c>
      <c r="E9" s="1" t="b">
        <v>1</v>
      </c>
      <c r="F9" s="1">
        <f t="array" ref="F9">IF(E9/1,MATCH(ROW(Table6[Company]),ROW(Table6[Company])),"")</f>
        <v>1</v>
      </c>
      <c r="G9" s="1" t="e" vm="5">
        <f t="array" ref="G9">IF(ISNUMBER(F9),D9,"")</f>
        <v>#VALUE!</v>
      </c>
      <c r="I9" s="99" t="e" vm="5">
        <f t="shared" si="0"/>
        <v>#VALUE!</v>
      </c>
      <c r="J9" s="99" t="str">
        <f>VLOOKUP(Table33[[#This Row],[Company]],Table1[],2,FALSE)</f>
        <v>Mid Cap Senior</v>
      </c>
      <c r="K9" s="7">
        <f t="shared" si="1"/>
        <v>1</v>
      </c>
      <c r="L9" s="1" t="e" vm="5">
        <f t="shared" si="2"/>
        <v>#VALUE!</v>
      </c>
      <c r="N9" s="1" t="e" vm="5">
        <v>#VALUE!</v>
      </c>
      <c r="O9" s="100" t="str">
        <f>VLOOKUP(Table33[[#This Row],[Company]],Table1[],2,FALSE)</f>
        <v>Mid Cap Senior</v>
      </c>
    </row>
    <row r="10" spans="1:19" x14ac:dyDescent="0.25">
      <c r="A10" s="1" t="s">
        <v>98</v>
      </c>
      <c r="D10" s="96" t="e" vm="6">
        <v>#VALUE!</v>
      </c>
      <c r="E10" s="1" t="b">
        <v>1</v>
      </c>
      <c r="F10" s="1">
        <f t="array" ref="F10">IF(E10/1,MATCH(ROW(Table6[Company]),ROW(Table6[Company])),"")</f>
        <v>1</v>
      </c>
      <c r="G10" s="1" t="e" vm="6">
        <f t="array" ref="G10">IF(ISNUMBER(F10),D10,"")</f>
        <v>#VALUE!</v>
      </c>
      <c r="I10" s="99" t="e" vm="6">
        <f t="shared" si="0"/>
        <v>#VALUE!</v>
      </c>
      <c r="J10" s="99" t="str">
        <f>VLOOKUP(Table33[[#This Row],[Company]],Table1[],2,FALSE)</f>
        <v>Mid Cap Senior</v>
      </c>
      <c r="K10" s="7">
        <f t="shared" si="1"/>
        <v>1</v>
      </c>
      <c r="L10" s="1" t="e" vm="6">
        <f t="shared" si="2"/>
        <v>#VALUE!</v>
      </c>
      <c r="N10" s="1" t="e" vm="6">
        <v>#VALUE!</v>
      </c>
      <c r="O10" s="100" t="str">
        <f>VLOOKUP(Table33[[#This Row],[Company]],Table1[],2,FALSE)</f>
        <v>Mid Cap Senior</v>
      </c>
    </row>
    <row r="11" spans="1:19" x14ac:dyDescent="0.25">
      <c r="A11" s="1" t="s">
        <v>99</v>
      </c>
      <c r="D11" s="96" t="e" vm="7">
        <v>#VALUE!</v>
      </c>
      <c r="E11" s="1" t="b">
        <v>1</v>
      </c>
      <c r="F11" s="1">
        <f t="array" ref="F11">IF(E11/1,MATCH(ROW(Table6[Company]),ROW(Table6[Company])),"")</f>
        <v>1</v>
      </c>
      <c r="G11" s="1" t="e" vm="7">
        <f t="array" ref="G11">IF(ISNUMBER(F11),D11,"")</f>
        <v>#VALUE!</v>
      </c>
      <c r="I11" s="99" t="e" vm="7">
        <f t="shared" si="0"/>
        <v>#VALUE!</v>
      </c>
      <c r="J11" s="99" t="str">
        <f>VLOOKUP(Table33[[#This Row],[Company]],Table1[],2,FALSE)</f>
        <v>Mid Cap Senior</v>
      </c>
      <c r="K11" s="7">
        <f t="shared" si="1"/>
        <v>1</v>
      </c>
      <c r="L11" s="1" t="e" vm="7">
        <f t="shared" si="2"/>
        <v>#VALUE!</v>
      </c>
      <c r="N11" s="1" t="e" vm="7">
        <v>#VALUE!</v>
      </c>
      <c r="O11" s="100" t="str">
        <f>VLOOKUP(Table33[[#This Row],[Company]],Table1[],2,FALSE)</f>
        <v>Mid Cap Senior</v>
      </c>
    </row>
    <row r="12" spans="1:19" x14ac:dyDescent="0.25">
      <c r="D12" s="96" t="e" vm="8">
        <v>#VALUE!</v>
      </c>
      <c r="E12" s="1" t="b">
        <v>1</v>
      </c>
      <c r="F12" s="1">
        <f t="array" ref="F12">IF(E12/1,MATCH(ROW(Table6[Company]),ROW(Table6[Company])),"")</f>
        <v>1</v>
      </c>
      <c r="G12" s="1" t="e" vm="8">
        <f t="array" ref="G12">IF(ISNUMBER(F12),D12,"")</f>
        <v>#VALUE!</v>
      </c>
      <c r="I12" s="99" t="e" vm="8">
        <f t="shared" si="0"/>
        <v>#VALUE!</v>
      </c>
      <c r="J12" s="99" t="str">
        <f>VLOOKUP(Table33[[#This Row],[Company]],Table1[],2,FALSE)</f>
        <v>Large Cap Senior</v>
      </c>
      <c r="K12" s="7">
        <f t="shared" si="1"/>
        <v>1</v>
      </c>
      <c r="L12" s="1" t="e" vm="8">
        <f t="shared" si="2"/>
        <v>#VALUE!</v>
      </c>
      <c r="N12" s="1" t="e" vm="8">
        <v>#VALUE!</v>
      </c>
      <c r="O12" s="100" t="str">
        <f>VLOOKUP(Table33[[#This Row],[Company]],Table1[],2,FALSE)</f>
        <v>Large Cap Senior</v>
      </c>
    </row>
    <row r="13" spans="1:19" x14ac:dyDescent="0.25">
      <c r="D13" s="96" t="e" vm="38">
        <v>#VALUE!</v>
      </c>
      <c r="E13" s="1" t="b">
        <v>0</v>
      </c>
      <c r="F13" s="1" t="str">
        <f t="array" ref="F13">IF(E13/1,MATCH(ROW(Table6[Company]),ROW(Table6[Company])),"")</f>
        <v/>
      </c>
      <c r="G13" s="1" t="str">
        <f t="array" ref="G13">IF(ISNUMBER(F13),D13,"")</f>
        <v/>
      </c>
      <c r="I13" s="99" t="e" vm="38">
        <f t="shared" si="0"/>
        <v>#VALUE!</v>
      </c>
      <c r="J13" s="99" t="str">
        <f>VLOOKUP(Table33[[#This Row],[Company]],Table1[],2,FALSE)</f>
        <v>Large Cap Senior</v>
      </c>
      <c r="K13" s="7" t="str">
        <f t="shared" si="1"/>
        <v/>
      </c>
      <c r="L13" s="1" t="str">
        <f t="shared" si="2"/>
        <v/>
      </c>
      <c r="O13" s="100" t="str">
        <f>VLOOKUP(Table33[[#This Row],[Company]],Table1[],2,FALSE)</f>
        <v>Large Cap Senior</v>
      </c>
    </row>
    <row r="14" spans="1:19" x14ac:dyDescent="0.25">
      <c r="D14" s="96" t="e" vm="39">
        <v>#VALUE!</v>
      </c>
      <c r="E14" s="1" t="b">
        <v>0</v>
      </c>
      <c r="F14" s="1" t="str">
        <f t="array" ref="F14">IF(E14/1,MATCH(ROW(Table6[Company]),ROW(Table6[Company])),"")</f>
        <v/>
      </c>
      <c r="G14" s="1" t="str">
        <f t="array" ref="G14">IF(ISNUMBER(F14),D14,"")</f>
        <v/>
      </c>
      <c r="I14" s="99" t="e" vm="39">
        <f t="shared" si="0"/>
        <v>#VALUE!</v>
      </c>
      <c r="J14" s="99" t="str">
        <f>VLOOKUP(Table33[[#This Row],[Company]],Table1[],2,FALSE)</f>
        <v>Mid Cap Senior</v>
      </c>
      <c r="K14" s="7" t="str">
        <f t="shared" si="1"/>
        <v/>
      </c>
      <c r="L14" s="1" t="str">
        <f t="shared" si="2"/>
        <v/>
      </c>
      <c r="O14" s="100" t="str">
        <f>VLOOKUP(Table33[[#This Row],[Company]],Table1[],2,FALSE)</f>
        <v>Mid Cap Senior</v>
      </c>
      <c r="S14" s="98"/>
    </row>
    <row r="15" spans="1:19" x14ac:dyDescent="0.25">
      <c r="D15" s="96" t="e" vm="40">
        <v>#VALUE!</v>
      </c>
      <c r="E15" s="1" t="b">
        <v>0</v>
      </c>
      <c r="F15" s="1" t="str">
        <f t="array" ref="F15">IF(E15/1,MATCH(ROW(Table6[Company]),ROW(Table6[Company])),"")</f>
        <v/>
      </c>
      <c r="G15" s="1" t="str">
        <f t="array" ref="G15">IF(ISNUMBER(F15),D15,"")</f>
        <v/>
      </c>
      <c r="I15" s="99" t="e" vm="40">
        <f t="shared" si="0"/>
        <v>#VALUE!</v>
      </c>
      <c r="J15" s="99" t="str">
        <f>VLOOKUP(Table33[[#This Row],[Company]],Table1[],2,FALSE)</f>
        <v>Small Cap Junior</v>
      </c>
      <c r="K15" s="7" t="str">
        <f t="shared" si="1"/>
        <v/>
      </c>
      <c r="L15" s="1" t="str">
        <f t="shared" si="2"/>
        <v/>
      </c>
      <c r="O15" s="100" t="str">
        <f>VLOOKUP(Table33[[#This Row],[Company]],Table1[],2,FALSE)</f>
        <v>Small Cap Junior</v>
      </c>
    </row>
    <row r="16" spans="1:19" x14ac:dyDescent="0.25">
      <c r="D16" s="96" t="e" vm="41">
        <v>#VALUE!</v>
      </c>
      <c r="E16" s="1" t="b">
        <v>0</v>
      </c>
      <c r="F16" s="1" t="str">
        <f t="array" ref="F16">IF(E16/1,MATCH(ROW(Table6[Company]),ROW(Table6[Company])),"")</f>
        <v/>
      </c>
      <c r="G16" s="1" t="str">
        <f t="array" ref="G16">IF(ISNUMBER(F16),D16,"")</f>
        <v/>
      </c>
      <c r="I16" s="99" t="e" vm="41">
        <f t="shared" si="0"/>
        <v>#VALUE!</v>
      </c>
      <c r="J16" s="99" t="str">
        <f>VLOOKUP(Table33[[#This Row],[Company]],Table1[],2,FALSE)</f>
        <v>Small Cap Senior</v>
      </c>
      <c r="K16" s="7" t="str">
        <f t="shared" si="1"/>
        <v/>
      </c>
      <c r="L16" s="1" t="str">
        <f t="shared" si="2"/>
        <v/>
      </c>
      <c r="O16" s="100" t="str">
        <f>VLOOKUP(Table33[[#This Row],[Company]],Table1[],2,FALSE)</f>
        <v>Small Cap Senior</v>
      </c>
    </row>
    <row r="17" spans="4:15" x14ac:dyDescent="0.25">
      <c r="D17" s="96" t="e" vm="42">
        <v>#VALUE!</v>
      </c>
      <c r="E17" s="1" t="b">
        <v>0</v>
      </c>
      <c r="F17" s="1" t="str">
        <f t="array" ref="F17">IF(E17/1,MATCH(ROW(Table6[Company]),ROW(Table6[Company])),"")</f>
        <v/>
      </c>
      <c r="G17" s="1" t="str">
        <f t="array" ref="G17">IF(ISNUMBER(F17),D17,"")</f>
        <v/>
      </c>
      <c r="I17" s="99" t="e" vm="42">
        <f t="shared" si="0"/>
        <v>#VALUE!</v>
      </c>
      <c r="J17" s="99" t="str">
        <f>VLOOKUP(Table33[[#This Row],[Company]],Table1[],2,FALSE)</f>
        <v>Large Cap Senior</v>
      </c>
      <c r="K17" s="7" t="str">
        <f t="shared" si="1"/>
        <v/>
      </c>
      <c r="L17" s="1" t="str">
        <f t="shared" si="2"/>
        <v/>
      </c>
      <c r="O17" s="100" t="str">
        <f>VLOOKUP(Table33[[#This Row],[Company]],Table1[],2,FALSE)</f>
        <v>Large Cap Senior</v>
      </c>
    </row>
    <row r="18" spans="4:15" x14ac:dyDescent="0.25">
      <c r="D18" s="96" t="e" vm="43">
        <v>#VALUE!</v>
      </c>
      <c r="E18" s="1" t="b">
        <v>0</v>
      </c>
      <c r="F18" s="1" t="str">
        <f t="array" ref="F18">IF(E18/1,MATCH(ROW(Table6[Company]),ROW(Table6[Company])),"")</f>
        <v/>
      </c>
      <c r="G18" s="1" t="str">
        <f t="array" ref="G18">IF(ISNUMBER(F18),D18,"")</f>
        <v/>
      </c>
      <c r="I18" s="99" t="e" vm="43">
        <f t="shared" si="0"/>
        <v>#VALUE!</v>
      </c>
      <c r="J18" s="99" t="str">
        <f>VLOOKUP(Table33[[#This Row],[Company]],Table1[],2,FALSE)</f>
        <v>Small Cap Junior</v>
      </c>
      <c r="K18" s="7" t="str">
        <f t="shared" si="1"/>
        <v/>
      </c>
      <c r="L18" s="1" t="str">
        <f t="shared" si="2"/>
        <v/>
      </c>
      <c r="O18" s="100" t="str">
        <f>VLOOKUP(Table33[[#This Row],[Company]],Table1[],2,FALSE)</f>
        <v>Small Cap Junior</v>
      </c>
    </row>
    <row r="19" spans="4:15" x14ac:dyDescent="0.25">
      <c r="D19" s="96" t="e" vm="44">
        <v>#VALUE!</v>
      </c>
      <c r="E19" s="1" t="b">
        <v>0</v>
      </c>
      <c r="F19" s="1" t="str">
        <f t="array" ref="F19">IF(E19/1,MATCH(ROW(Table6[Company]),ROW(Table6[Company])),"")</f>
        <v/>
      </c>
      <c r="G19" s="1" t="str">
        <f t="array" ref="G19">IF(ISNUMBER(F19),D19,"")</f>
        <v/>
      </c>
      <c r="I19" s="99" t="e" vm="44">
        <f t="shared" si="0"/>
        <v>#VALUE!</v>
      </c>
      <c r="J19" s="99" t="str">
        <f>VLOOKUP(Table33[[#This Row],[Company]],Table1[],2,FALSE)</f>
        <v>Small Cap Senior</v>
      </c>
      <c r="K19" s="7" t="str">
        <f t="shared" si="1"/>
        <v/>
      </c>
      <c r="L19" s="1" t="str">
        <f t="shared" si="2"/>
        <v/>
      </c>
      <c r="O19" s="100" t="str">
        <f>VLOOKUP(Table33[[#This Row],[Company]],Table1[],2,FALSE)</f>
        <v>Small Cap Senior</v>
      </c>
    </row>
    <row r="20" spans="4:15" x14ac:dyDescent="0.25">
      <c r="D20" s="96" t="e" vm="45">
        <v>#VALUE!</v>
      </c>
      <c r="E20" s="1" t="b">
        <v>0</v>
      </c>
      <c r="F20" s="1" t="str">
        <f t="array" ref="F20">IF(E20/1,MATCH(ROW(Table6[Company]),ROW(Table6[Company])),"")</f>
        <v/>
      </c>
      <c r="G20" s="1" t="str">
        <f t="array" ref="G20">IF(ISNUMBER(F20),D20,"")</f>
        <v/>
      </c>
      <c r="I20" s="99" t="e" vm="45">
        <f t="shared" si="0"/>
        <v>#VALUE!</v>
      </c>
      <c r="J20" s="99" t="str">
        <f>VLOOKUP(Table33[[#This Row],[Company]],Table1[],2,FALSE)</f>
        <v>Small Cap Junior</v>
      </c>
      <c r="K20" s="7" t="str">
        <f t="shared" si="1"/>
        <v/>
      </c>
      <c r="L20" s="1" t="str">
        <f t="shared" si="2"/>
        <v/>
      </c>
      <c r="O20" s="100" t="str">
        <f>VLOOKUP(Table33[[#This Row],[Company]],Table1[],2,FALSE)</f>
        <v>Small Cap Junior</v>
      </c>
    </row>
    <row r="21" spans="4:15" x14ac:dyDescent="0.25">
      <c r="D21" s="96" t="e" vm="46">
        <v>#VALUE!</v>
      </c>
      <c r="E21" s="1" t="b">
        <v>0</v>
      </c>
      <c r="F21" s="1" t="str">
        <f t="array" ref="F21">IF(E21/1,MATCH(ROW(Table6[Company]),ROW(Table6[Company])),"")</f>
        <v/>
      </c>
      <c r="G21" s="1" t="str">
        <f t="array" ref="G21">IF(ISNUMBER(F21),D21,"")</f>
        <v/>
      </c>
      <c r="I21" s="99" t="e" vm="46">
        <f t="shared" si="0"/>
        <v>#VALUE!</v>
      </c>
      <c r="J21" s="99" t="str">
        <f>VLOOKUP(Table33[[#This Row],[Company]],Table1[],2,FALSE)</f>
        <v>Large Cap Senior</v>
      </c>
      <c r="K21" s="7" t="str">
        <f t="shared" si="1"/>
        <v/>
      </c>
      <c r="L21" s="1" t="str">
        <f t="shared" si="2"/>
        <v/>
      </c>
      <c r="O21" s="100" t="str">
        <f>VLOOKUP(Table33[[#This Row],[Company]],Table1[],2,FALSE)</f>
        <v>Large Cap Senior</v>
      </c>
    </row>
    <row r="22" spans="4:15" x14ac:dyDescent="0.25">
      <c r="D22" s="96" t="e" vm="47">
        <v>#VALUE!</v>
      </c>
      <c r="E22" s="1" t="b">
        <v>0</v>
      </c>
      <c r="F22" s="1" t="str">
        <f t="array" ref="F22">IF(E22/1,MATCH(ROW(Table6[Company]),ROW(Table6[Company])),"")</f>
        <v/>
      </c>
      <c r="G22" s="1" t="str">
        <f t="array" ref="G22">IF(ISNUMBER(F22),D22,"")</f>
        <v/>
      </c>
      <c r="I22" s="99" t="e" vm="47">
        <f t="shared" si="0"/>
        <v>#VALUE!</v>
      </c>
      <c r="J22" s="99" t="str">
        <f>VLOOKUP(Table33[[#This Row],[Company]],Table1[],2,FALSE)</f>
        <v>Small Cap Senior</v>
      </c>
      <c r="K22" s="7" t="str">
        <f t="shared" si="1"/>
        <v/>
      </c>
      <c r="L22" s="1" t="str">
        <f t="shared" si="2"/>
        <v/>
      </c>
      <c r="O22" s="100" t="str">
        <f>VLOOKUP(Table33[[#This Row],[Company]],Table1[],2,FALSE)</f>
        <v>Small Cap Senior</v>
      </c>
    </row>
    <row r="23" spans="4:15" x14ac:dyDescent="0.25">
      <c r="D23" s="96" t="e" vm="48">
        <v>#VALUE!</v>
      </c>
      <c r="E23" s="1" t="b">
        <v>0</v>
      </c>
      <c r="F23" s="1" t="str">
        <f t="array" ref="F23">IF(E23/1,MATCH(ROW(Table6[Company]),ROW(Table6[Company])),"")</f>
        <v/>
      </c>
      <c r="G23" s="1" t="str">
        <f t="array" ref="G23">IF(ISNUMBER(F23),D23,"")</f>
        <v/>
      </c>
      <c r="I23" s="99" t="e" vm="48">
        <f t="shared" si="0"/>
        <v>#VALUE!</v>
      </c>
      <c r="J23" s="99" t="str">
        <f>VLOOKUP(Table33[[#This Row],[Company]],Table1[],2,FALSE)</f>
        <v>Mid Cap Senior</v>
      </c>
      <c r="K23" s="7" t="str">
        <f t="shared" si="1"/>
        <v/>
      </c>
      <c r="L23" s="1" t="str">
        <f t="shared" si="2"/>
        <v/>
      </c>
      <c r="O23" s="100" t="str">
        <f>VLOOKUP(Table33[[#This Row],[Company]],Table1[],2,FALSE)</f>
        <v>Mid Cap Senior</v>
      </c>
    </row>
    <row r="24" spans="4:15" x14ac:dyDescent="0.25">
      <c r="D24" s="96" t="e" vm="49">
        <v>#VALUE!</v>
      </c>
      <c r="E24" s="1" t="b">
        <v>0</v>
      </c>
      <c r="F24" s="1" t="str">
        <f t="array" ref="F24">IF(E24/1,MATCH(ROW(Table6[Company]),ROW(Table6[Company])),"")</f>
        <v/>
      </c>
      <c r="G24" s="1" t="str">
        <f t="array" ref="G24">IF(ISNUMBER(F24),D24,"")</f>
        <v/>
      </c>
      <c r="I24" s="99" t="e" vm="49">
        <f t="shared" si="0"/>
        <v>#VALUE!</v>
      </c>
      <c r="J24" s="99" t="str">
        <f>VLOOKUP(Table33[[#This Row],[Company]],Table1[],2,FALSE)</f>
        <v>Small Cap Junior</v>
      </c>
      <c r="K24" s="7" t="str">
        <f t="shared" si="1"/>
        <v/>
      </c>
      <c r="L24" s="1" t="str">
        <f t="shared" si="2"/>
        <v/>
      </c>
      <c r="O24" s="100" t="str">
        <f>VLOOKUP(Table33[[#This Row],[Company]],Table1[],2,FALSE)</f>
        <v>Small Cap Junior</v>
      </c>
    </row>
    <row r="25" spans="4:15" x14ac:dyDescent="0.25">
      <c r="D25" s="96" t="e" vm="50">
        <v>#VALUE!</v>
      </c>
      <c r="E25" s="1" t="b">
        <v>0</v>
      </c>
      <c r="F25" s="1" t="str">
        <f t="array" ref="F25">IF(E25/1,MATCH(ROW(Table6[Company]),ROW(Table6[Company])),"")</f>
        <v/>
      </c>
      <c r="G25" s="1" t="str">
        <f t="array" ref="G25">IF(ISNUMBER(F25),D25,"")</f>
        <v/>
      </c>
      <c r="I25" s="99" t="e" vm="50">
        <f t="shared" si="0"/>
        <v>#VALUE!</v>
      </c>
      <c r="J25" s="99" t="str">
        <f>VLOOKUP(Table33[[#This Row],[Company]],Table1[],2,FALSE)</f>
        <v>Small Cap Senior</v>
      </c>
      <c r="K25" s="7" t="str">
        <f t="shared" si="1"/>
        <v/>
      </c>
      <c r="L25" s="1" t="str">
        <f t="shared" si="2"/>
        <v/>
      </c>
      <c r="O25" s="100" t="str">
        <f>VLOOKUP(Table33[[#This Row],[Company]],Table1[],2,FALSE)</f>
        <v>Small Cap Senior</v>
      </c>
    </row>
    <row r="26" spans="4:15" x14ac:dyDescent="0.25">
      <c r="D26" s="96" t="e" vm="51">
        <v>#VALUE!</v>
      </c>
      <c r="E26" s="1" t="b">
        <v>0</v>
      </c>
      <c r="F26" s="1" t="str">
        <f t="array" ref="F26">IF(E26/1,MATCH(ROW(Table6[Company]),ROW(Table6[Company])),"")</f>
        <v/>
      </c>
      <c r="G26" s="1" t="str">
        <f t="array" ref="G26">IF(ISNUMBER(F26),D26,"")</f>
        <v/>
      </c>
      <c r="I26" s="99" t="e" vm="51">
        <f t="shared" si="0"/>
        <v>#VALUE!</v>
      </c>
      <c r="J26" s="99" t="str">
        <f>VLOOKUP(Table33[[#This Row],[Company]],Table1[],2,FALSE)</f>
        <v>Small Cap Junior</v>
      </c>
      <c r="K26" s="7" t="str">
        <f t="shared" si="1"/>
        <v/>
      </c>
      <c r="L26" s="1" t="str">
        <f t="shared" si="2"/>
        <v/>
      </c>
      <c r="O26" s="100" t="str">
        <f>VLOOKUP(Table33[[#This Row],[Company]],Table1[],2,FALSE)</f>
        <v>Small Cap Junior</v>
      </c>
    </row>
    <row r="27" spans="4:15" x14ac:dyDescent="0.25">
      <c r="D27" s="96" t="e" vm="52">
        <v>#VALUE!</v>
      </c>
      <c r="E27" s="1" t="b">
        <v>0</v>
      </c>
      <c r="F27" s="1" t="str">
        <f t="array" ref="F27">IF(E27/1,MATCH(ROW(Table6[Company]),ROW(Table6[Company])),"")</f>
        <v/>
      </c>
      <c r="G27" s="1" t="str">
        <f t="array" ref="G27">IF(ISNUMBER(F27),D27,"")</f>
        <v/>
      </c>
      <c r="I27" s="99" t="e" vm="52">
        <f t="shared" si="0"/>
        <v>#VALUE!</v>
      </c>
      <c r="J27" s="99" t="str">
        <f>VLOOKUP(Table33[[#This Row],[Company]],Table1[],2,FALSE)</f>
        <v>Mid Cap Senior</v>
      </c>
      <c r="K27" s="7" t="str">
        <f t="shared" si="1"/>
        <v/>
      </c>
      <c r="L27" s="1" t="str">
        <f t="shared" si="2"/>
        <v/>
      </c>
      <c r="O27" s="100" t="str">
        <f>VLOOKUP(Table33[[#This Row],[Company]],Table1[],2,FALSE)</f>
        <v>Mid Cap Senior</v>
      </c>
    </row>
    <row r="28" spans="4:15" x14ac:dyDescent="0.25">
      <c r="D28" s="96" t="e" vm="53">
        <v>#VALUE!</v>
      </c>
      <c r="E28" s="1" t="b">
        <v>0</v>
      </c>
      <c r="F28" s="1" t="str">
        <f t="array" ref="F28">IF(E28/1,MATCH(ROW(Table6[Company]),ROW(Table6[Company])),"")</f>
        <v/>
      </c>
      <c r="G28" s="1" t="str">
        <f t="array" ref="G28">IF(ISNUMBER(F28),D28,"")</f>
        <v/>
      </c>
      <c r="I28" s="99" t="e" vm="53">
        <f t="shared" si="0"/>
        <v>#VALUE!</v>
      </c>
      <c r="J28" s="99" t="str">
        <f>VLOOKUP(Table33[[#This Row],[Company]],Table1[],2,FALSE)</f>
        <v>Small Cap Junior</v>
      </c>
      <c r="K28" s="7" t="str">
        <f t="shared" si="1"/>
        <v/>
      </c>
      <c r="L28" s="1" t="str">
        <f t="shared" si="2"/>
        <v/>
      </c>
      <c r="O28" s="100" t="str">
        <f>VLOOKUP(Table33[[#This Row],[Company]],Table1[],2,FALSE)</f>
        <v>Small Cap Junior</v>
      </c>
    </row>
    <row r="29" spans="4:15" x14ac:dyDescent="0.25">
      <c r="D29" s="96" t="e" vm="54">
        <v>#VALUE!</v>
      </c>
      <c r="E29" s="1" t="b">
        <v>0</v>
      </c>
      <c r="F29" s="1" t="str">
        <f t="array" ref="F29">IF(E29/1,MATCH(ROW(Table6[Company]),ROW(Table6[Company])),"")</f>
        <v/>
      </c>
      <c r="G29" s="1" t="str">
        <f t="array" ref="G29">IF(ISNUMBER(F29),D29,"")</f>
        <v/>
      </c>
      <c r="I29" s="99" t="e" vm="54">
        <f t="shared" si="0"/>
        <v>#VALUE!</v>
      </c>
      <c r="J29" s="99" t="str">
        <f>VLOOKUP(Table33[[#This Row],[Company]],Table1[],2,FALSE)</f>
        <v>Small Cap Junior</v>
      </c>
      <c r="K29" s="7" t="str">
        <f t="shared" si="1"/>
        <v/>
      </c>
      <c r="L29" s="1" t="str">
        <f t="shared" si="2"/>
        <v/>
      </c>
      <c r="O29" s="100" t="str">
        <f>VLOOKUP(Table33[[#This Row],[Company]],Table1[],2,FALSE)</f>
        <v>Small Cap Junior</v>
      </c>
    </row>
    <row r="30" spans="4:15" x14ac:dyDescent="0.25">
      <c r="D30" s="96" t="e" vm="55">
        <v>#VALUE!</v>
      </c>
      <c r="E30" s="1" t="b">
        <v>0</v>
      </c>
      <c r="F30" s="1" t="str">
        <f t="array" ref="F30">IF(E30/1,MATCH(ROW(Table6[Company]),ROW(Table6[Company])),"")</f>
        <v/>
      </c>
      <c r="G30" s="1" t="str">
        <f t="array" ref="G30">IF(ISNUMBER(F30),D30,"")</f>
        <v/>
      </c>
      <c r="I30" s="99" t="e" vm="55">
        <f t="shared" si="0"/>
        <v>#VALUE!</v>
      </c>
      <c r="J30" s="99" t="str">
        <f>VLOOKUP(Table33[[#This Row],[Company]],Table1[],2,FALSE)</f>
        <v>Mid Cap Senior</v>
      </c>
      <c r="K30" s="7" t="str">
        <f t="shared" si="1"/>
        <v/>
      </c>
      <c r="L30" s="1" t="str">
        <f t="shared" si="2"/>
        <v/>
      </c>
      <c r="O30" s="100" t="str">
        <f>VLOOKUP(Table33[[#This Row],[Company]],Table1[],2,FALSE)</f>
        <v>Mid Cap Senior</v>
      </c>
    </row>
    <row r="31" spans="4:15" x14ac:dyDescent="0.25">
      <c r="D31" s="96" t="e" vm="56">
        <v>#VALUE!</v>
      </c>
      <c r="E31" s="1" t="b">
        <v>0</v>
      </c>
      <c r="F31" s="1" t="str">
        <f t="array" ref="F31">IF(E31/1,MATCH(ROW(Table6[Company]),ROW(Table6[Company])),"")</f>
        <v/>
      </c>
      <c r="G31" s="1" t="str">
        <f t="array" ref="G31">IF(ISNUMBER(F31),D31,"")</f>
        <v/>
      </c>
      <c r="I31" s="99" t="e" vm="56">
        <f t="shared" si="0"/>
        <v>#VALUE!</v>
      </c>
      <c r="J31" s="99" t="str">
        <f>VLOOKUP(Table33[[#This Row],[Company]],Table1[],2,FALSE)</f>
        <v>Small Cap Junior</v>
      </c>
      <c r="K31" s="7" t="str">
        <f t="shared" si="1"/>
        <v/>
      </c>
      <c r="L31" s="1" t="str">
        <f t="shared" si="2"/>
        <v/>
      </c>
      <c r="O31" s="100" t="str">
        <f>VLOOKUP(Table33[[#This Row],[Company]],Table1[],2,FALSE)</f>
        <v>Small Cap Junior</v>
      </c>
    </row>
    <row r="32" spans="4:15" x14ac:dyDescent="0.25">
      <c r="D32" s="96" t="e" vm="57">
        <v>#VALUE!</v>
      </c>
      <c r="E32" s="1" t="b">
        <v>0</v>
      </c>
      <c r="F32" s="1" t="str">
        <f t="array" ref="F32">IF(E32/1,MATCH(ROW(Table6[Company]),ROW(Table6[Company])),"")</f>
        <v/>
      </c>
      <c r="G32" s="1" t="str">
        <f t="array" ref="G32">IF(ISNUMBER(F32),D32,"")</f>
        <v/>
      </c>
      <c r="I32" s="99" t="e" vm="57">
        <f t="shared" si="0"/>
        <v>#VALUE!</v>
      </c>
      <c r="J32" s="99" t="str">
        <f>VLOOKUP(Table33[[#This Row],[Company]],Table1[],2,FALSE)</f>
        <v>Small Cap Junior</v>
      </c>
      <c r="K32" s="7" t="str">
        <f t="shared" si="1"/>
        <v/>
      </c>
      <c r="L32" s="1" t="str">
        <f t="shared" si="2"/>
        <v/>
      </c>
      <c r="O32" s="100" t="str">
        <f>VLOOKUP(Table33[[#This Row],[Company]],Table1[],2,FALSE)</f>
        <v>Small Cap Junior</v>
      </c>
    </row>
    <row r="33" spans="4:15" x14ac:dyDescent="0.25">
      <c r="D33" s="96" t="e" vm="58">
        <v>#VALUE!</v>
      </c>
      <c r="E33" s="1" t="b">
        <v>0</v>
      </c>
      <c r="F33" s="1" t="str">
        <f t="array" ref="F33">IF(E33/1,MATCH(ROW(Table6[Company]),ROW(Table6[Company])),"")</f>
        <v/>
      </c>
      <c r="G33" s="1" t="str">
        <f t="array" ref="G33">IF(ISNUMBER(F33),D33,"")</f>
        <v/>
      </c>
      <c r="I33" s="99" t="e" vm="58">
        <f t="shared" si="0"/>
        <v>#VALUE!</v>
      </c>
      <c r="J33" s="99" t="str">
        <f>VLOOKUP(Table33[[#This Row],[Company]],Table1[],2,FALSE)</f>
        <v>Small Cap Junior</v>
      </c>
      <c r="K33" s="7" t="str">
        <f t="shared" si="1"/>
        <v/>
      </c>
      <c r="L33" s="1" t="str">
        <f t="shared" si="2"/>
        <v/>
      </c>
      <c r="O33" s="100" t="str">
        <f>VLOOKUP(Table33[[#This Row],[Company]],Table1[],2,FALSE)</f>
        <v>Small Cap Junior</v>
      </c>
    </row>
    <row r="34" spans="4:15" x14ac:dyDescent="0.25">
      <c r="O34" s="100"/>
    </row>
  </sheetData>
  <autoFilter ref="N4:O33" xr:uid="{E05C2DD1-4A0B-4AFD-BB26-2573DC1375B2}"/>
  <sortState xmlns:xlrd2="http://schemas.microsoft.com/office/spreadsheetml/2017/richdata2" ref="G5:G33">
    <sortCondition descending="1" ref="G5:G33"/>
  </sortState>
  <mergeCells count="1">
    <mergeCell ref="D1:E1"/>
  </mergeCell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0FAA-381E-449D-A265-0CD6295718A2}">
  <sheetPr codeName="Sheet7">
    <tabColor theme="9" tint="-0.249977111117893"/>
  </sheetPr>
  <dimension ref="A1"/>
  <sheetViews>
    <sheetView topLeftCell="A94" zoomScale="85" zoomScaleNormal="85" workbookViewId="0">
      <selection activeCell="L8" sqref="L8"/>
    </sheetView>
  </sheetViews>
  <sheetFormatPr defaultRowHeight="15" x14ac:dyDescent="0.25"/>
  <cols>
    <col min="1" max="16384" width="9.140625" style="1"/>
  </cols>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6D2E6-4D57-49C9-89D8-DCE85F40C028}">
  <sheetPr codeName="Sheet8">
    <tabColor theme="9" tint="-0.249977111117893"/>
  </sheetPr>
  <dimension ref="A1"/>
  <sheetViews>
    <sheetView topLeftCell="A31" zoomScale="85" zoomScaleNormal="85" workbookViewId="0">
      <selection activeCell="L8" sqref="L8"/>
    </sheetView>
  </sheetViews>
  <sheetFormatPr defaultRowHeight="15" x14ac:dyDescent="0.25"/>
  <cols>
    <col min="1" max="16384" width="9.140625" style="1"/>
  </cols>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B181E-5482-471C-B973-5E562F3872E2}">
  <sheetPr codeName="Sheet9">
    <tabColor theme="9" tint="-0.249977111117893"/>
  </sheetPr>
  <dimension ref="A1"/>
  <sheetViews>
    <sheetView topLeftCell="A52" zoomScale="70" zoomScaleNormal="70" workbookViewId="0">
      <selection activeCell="L8" sqref="L8"/>
    </sheetView>
  </sheetViews>
  <sheetFormatPr defaultRowHeight="15" x14ac:dyDescent="0.25"/>
  <cols>
    <col min="1" max="16384" width="9.140625" style="1"/>
  </cols>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6E37F-5C3D-4105-B878-B03A8EE08645}">
  <sheetPr codeName="Sheet10">
    <tabColor theme="9" tint="-0.249977111117893"/>
  </sheetPr>
  <dimension ref="A1"/>
  <sheetViews>
    <sheetView topLeftCell="D1" workbookViewId="0">
      <selection activeCell="L8" sqref="L8"/>
    </sheetView>
  </sheetViews>
  <sheetFormatPr defaultRowHeight="15" x14ac:dyDescent="0.25"/>
  <cols>
    <col min="1" max="16384" width="9.140625" style="1"/>
  </cols>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C14E6-D089-4BED-AFF9-1049E6FAAB4C}">
  <sheetPr codeName="Sheet11">
    <tabColor rgb="FFFF0000"/>
  </sheetPr>
  <dimension ref="A3:L221"/>
  <sheetViews>
    <sheetView topLeftCell="C12" zoomScaleNormal="100" workbookViewId="0">
      <selection activeCell="J36" sqref="J36:J64"/>
    </sheetView>
  </sheetViews>
  <sheetFormatPr defaultRowHeight="15" x14ac:dyDescent="0.25"/>
  <cols>
    <col min="1" max="1" width="39.42578125" style="1" bestFit="1" customWidth="1"/>
    <col min="2" max="2" width="20" style="1" bestFit="1" customWidth="1"/>
    <col min="3" max="3" width="32.42578125" style="1" customWidth="1"/>
    <col min="4" max="4" width="28.42578125" style="1" customWidth="1"/>
    <col min="5" max="6" width="39.42578125" style="1" bestFit="1" customWidth="1"/>
    <col min="7" max="7" width="23" style="1" bestFit="1" customWidth="1"/>
    <col min="8" max="8" width="27.7109375" style="1" bestFit="1" customWidth="1"/>
    <col min="9" max="9" width="13.85546875" style="1" customWidth="1"/>
    <col min="10" max="10" width="39.42578125" style="1" bestFit="1" customWidth="1"/>
    <col min="11" max="11" width="17.42578125" style="1" bestFit="1" customWidth="1"/>
    <col min="12" max="12" width="23" style="1" bestFit="1" customWidth="1"/>
    <col min="13" max="16384" width="9.140625" style="1"/>
  </cols>
  <sheetData>
    <row r="3" spans="1:10" x14ac:dyDescent="0.25">
      <c r="A3" s="7" t="s">
        <v>75</v>
      </c>
      <c r="B3" s="7" t="s">
        <v>95</v>
      </c>
      <c r="C3" s="7" t="s">
        <v>14</v>
      </c>
      <c r="D3" s="7" t="s">
        <v>15</v>
      </c>
      <c r="E3" s="7" t="s">
        <v>17</v>
      </c>
      <c r="F3" s="7" t="s">
        <v>18</v>
      </c>
      <c r="G3" s="7" t="s">
        <v>158</v>
      </c>
      <c r="H3" s="7" t="s">
        <v>159</v>
      </c>
      <c r="I3" s="7" t="s">
        <v>160</v>
      </c>
      <c r="J3" s="7" t="s">
        <v>161</v>
      </c>
    </row>
    <row r="4" spans="1:10" hidden="1" x14ac:dyDescent="0.25">
      <c r="A4" s="34" t="e" vm="1">
        <f>'Production &amp; FA'!B21</f>
        <v>#VALUE!</v>
      </c>
      <c r="B4" s="34" t="str">
        <f>VLOOKUP($A4,Table1[],2,FALSE)</f>
        <v>Small Cap Senior</v>
      </c>
      <c r="C4" s="54">
        <f>VLOOKUP($A4,Table1[],36,FALSE)</f>
        <v>8.9361702127659566</v>
      </c>
      <c r="D4" s="54">
        <f>VLOOKUP($A4,Table1[],37,FALSE)</f>
        <v>6.0212765957446805</v>
      </c>
      <c r="E4" s="54">
        <f>VLOOKUP($A4,Table1[],38,FALSE)</f>
        <v>4.73970473970474E-2</v>
      </c>
      <c r="F4" s="54">
        <f>VLOOKUP($A4,Table1[],39,FALSE)</f>
        <v>4.5252225519287835E-2</v>
      </c>
      <c r="G4" s="54">
        <f>Table6[[#Totals],[Current Ratio]]</f>
        <v>2.8475247945914224</v>
      </c>
      <c r="H4" s="54">
        <f>Table6[[#Totals],[Cash Ratio]]</f>
        <v>1.4071143132648956</v>
      </c>
      <c r="I4" s="54">
        <f>Table6[[#Totals],[Debt-Equity]]</f>
        <v>0.62157194047722997</v>
      </c>
      <c r="J4" s="54">
        <f>Table6[[#Totals],[Debt-Assest]]</f>
        <v>0.3461503077104412</v>
      </c>
    </row>
    <row r="5" spans="1:10" x14ac:dyDescent="0.25">
      <c r="A5" s="34" t="e" vm="2">
        <f>'Production &amp; FA'!B9</f>
        <v>#VALUE!</v>
      </c>
      <c r="B5" s="34" t="str">
        <f>VLOOKUP($A5,Table1[],2,FALSE)</f>
        <v>Large Cap Senior</v>
      </c>
      <c r="C5" s="54">
        <f>VLOOKUP($A5,Table1[],36,FALSE)</f>
        <v>5.2641509433962268</v>
      </c>
      <c r="D5" s="54">
        <f>VLOOKUP($A5,Table1[],37,FALSE)</f>
        <v>2.4905660377358489</v>
      </c>
      <c r="E5" s="54">
        <f>VLOOKUP($A5,Table1[],38,FALSE)</f>
        <v>4.3065981825365467E-2</v>
      </c>
      <c r="F5" s="54">
        <f>VLOOKUP($A5,Table1[],39,FALSE)</f>
        <v>4.1280060594584361E-2</v>
      </c>
      <c r="G5" s="54">
        <f>Table6[[#Totals],[Current Ratio]]</f>
        <v>2.8475247945914224</v>
      </c>
      <c r="H5" s="54">
        <f>Table6[[#Totals],[Cash Ratio]]</f>
        <v>1.4071143132648956</v>
      </c>
      <c r="I5" s="54">
        <f>Table6[[#Totals],[Debt-Equity]]</f>
        <v>0.62157194047722997</v>
      </c>
      <c r="J5" s="54">
        <f>Table6[[#Totals],[Debt-Assest]]</f>
        <v>0.3461503077104412</v>
      </c>
    </row>
    <row r="6" spans="1:10" hidden="1" x14ac:dyDescent="0.25">
      <c r="A6" s="34" t="e" vm="3">
        <f>'Production &amp; FA'!B23</f>
        <v>#VALUE!</v>
      </c>
      <c r="B6" s="34" t="str">
        <f>VLOOKUP($A6,Table1[],2,FALSE)</f>
        <v>Small Cap Senior</v>
      </c>
      <c r="C6" s="54">
        <f>VLOOKUP($A6,Table1[],36,FALSE)</f>
        <v>4.7481203007518795</v>
      </c>
      <c r="D6" s="54">
        <f>VLOOKUP($A6,Table1[],37,FALSE)</f>
        <v>3.1240601503759398</v>
      </c>
      <c r="E6" s="54">
        <f>VLOOKUP($A6,Table1[],38,FALSE)</f>
        <v>0.64620630861040074</v>
      </c>
      <c r="F6" s="54">
        <f>VLOOKUP($A6,Table1[],39,FALSE)</f>
        <v>0.3925427239772139</v>
      </c>
      <c r="G6" s="54">
        <f>Table6[[#Totals],[Current Ratio]]</f>
        <v>2.8475247945914224</v>
      </c>
      <c r="H6" s="54">
        <f>Table6[[#Totals],[Cash Ratio]]</f>
        <v>1.4071143132648956</v>
      </c>
      <c r="I6" s="54">
        <f>Table6[[#Totals],[Debt-Equity]]</f>
        <v>0.62157194047722997</v>
      </c>
      <c r="J6" s="54">
        <f>Table6[[#Totals],[Debt-Assest]]</f>
        <v>0.3461503077104412</v>
      </c>
    </row>
    <row r="7" spans="1:10" hidden="1" x14ac:dyDescent="0.25">
      <c r="A7" s="34" t="e" vm="4">
        <f>'Production &amp; FA'!B25</f>
        <v>#VALUE!</v>
      </c>
      <c r="B7" s="34" t="str">
        <f>VLOOKUP($A7,Table1[],2,FALSE)</f>
        <v>Small Cap Senior</v>
      </c>
      <c r="C7" s="54">
        <f>VLOOKUP($A7,Table1[],36,FALSE)</f>
        <v>3.8461538461538463</v>
      </c>
      <c r="D7" s="54">
        <f>VLOOKUP($A7,Table1[],37,FALSE)</f>
        <v>2.1538461538461537</v>
      </c>
      <c r="E7" s="54">
        <f>VLOOKUP($A7,Table1[],38,FALSE)</f>
        <v>0.54320987654320985</v>
      </c>
      <c r="F7" s="54">
        <f>VLOOKUP($A7,Table1[],39,FALSE)</f>
        <v>0.35199999999999998</v>
      </c>
      <c r="G7" s="54">
        <f>Table6[[#Totals],[Current Ratio]]</f>
        <v>2.8475247945914224</v>
      </c>
      <c r="H7" s="54">
        <f>Table6[[#Totals],[Cash Ratio]]</f>
        <v>1.4071143132648956</v>
      </c>
      <c r="I7" s="54">
        <f>Table6[[#Totals],[Debt-Equity]]</f>
        <v>0.62157194047722997</v>
      </c>
      <c r="J7" s="54">
        <f>Table6[[#Totals],[Debt-Assest]]</f>
        <v>0.3461503077104412</v>
      </c>
    </row>
    <row r="8" spans="1:10" hidden="1" x14ac:dyDescent="0.25">
      <c r="A8" s="34" t="e" vm="5">
        <f>'Production &amp; FA'!B12</f>
        <v>#VALUE!</v>
      </c>
      <c r="B8" s="34" t="str">
        <f>VLOOKUP($A8,Table1[],2,FALSE)</f>
        <v>Mid Cap Senior</v>
      </c>
      <c r="C8" s="54">
        <f>VLOOKUP($A8,Table1[],36,FALSE)</f>
        <v>3.8081632653061224</v>
      </c>
      <c r="D8" s="54">
        <f>VLOOKUP($A8,Table1[],37,FALSE)</f>
        <v>0.17551020408163265</v>
      </c>
      <c r="E8" s="54">
        <f>VLOOKUP($A8,Table1[],38,FALSE)</f>
        <v>0.30784123910939015</v>
      </c>
      <c r="F8" s="54">
        <f>VLOOKUP($A8,Table1[],39,FALSE)</f>
        <v>0.23538119911176905</v>
      </c>
      <c r="G8" s="54">
        <f>Table6[[#Totals],[Current Ratio]]</f>
        <v>2.8475247945914224</v>
      </c>
      <c r="H8" s="54">
        <f>Table6[[#Totals],[Cash Ratio]]</f>
        <v>1.4071143132648956</v>
      </c>
      <c r="I8" s="54">
        <f>Table6[[#Totals],[Debt-Equity]]</f>
        <v>0.62157194047722997</v>
      </c>
      <c r="J8" s="54">
        <f>Table6[[#Totals],[Debt-Assest]]</f>
        <v>0.3461503077104412</v>
      </c>
    </row>
    <row r="9" spans="1:10" hidden="1" x14ac:dyDescent="0.25">
      <c r="A9" s="34" t="e" vm="6">
        <f>'Production &amp; FA'!B18</f>
        <v>#VALUE!</v>
      </c>
      <c r="B9" s="34" t="str">
        <f>VLOOKUP($A9,Table1[],2,FALSE)</f>
        <v>Mid Cap Senior</v>
      </c>
      <c r="C9" s="54">
        <f>VLOOKUP($A9,Table1[],36,FALSE)</f>
        <v>3.1023622047244093</v>
      </c>
      <c r="D9" s="54">
        <f>VLOOKUP($A9,Table1[],37,FALSE)</f>
        <v>1.4409448818897639</v>
      </c>
      <c r="E9" s="54">
        <f>VLOOKUP($A9,Table1[],38,FALSE)</f>
        <v>0.26011131725417441</v>
      </c>
      <c r="F9" s="54">
        <f>VLOOKUP($A9,Table1[],39,FALSE)</f>
        <v>0.20635855166323228</v>
      </c>
      <c r="G9" s="54">
        <f>Table6[[#Totals],[Current Ratio]]</f>
        <v>2.8475247945914224</v>
      </c>
      <c r="H9" s="54">
        <f>Table6[[#Totals],[Cash Ratio]]</f>
        <v>1.4071143132648956</v>
      </c>
      <c r="I9" s="54">
        <f>Table6[[#Totals],[Debt-Equity]]</f>
        <v>0.62157194047722997</v>
      </c>
      <c r="J9" s="54">
        <f>Table6[[#Totals],[Debt-Assest]]</f>
        <v>0.3461503077104412</v>
      </c>
    </row>
    <row r="10" spans="1:10" hidden="1" x14ac:dyDescent="0.25">
      <c r="A10" s="34" t="e" vm="7">
        <f>'Production &amp; FA'!B14</f>
        <v>#VALUE!</v>
      </c>
      <c r="B10" s="34" t="str">
        <f>VLOOKUP($A10,Table1[],2,FALSE)</f>
        <v>Mid Cap Senior</v>
      </c>
      <c r="C10" s="54">
        <f>VLOOKUP($A10,Table1[],36,FALSE)</f>
        <v>2.9626623376623376</v>
      </c>
      <c r="D10" s="54">
        <f>VLOOKUP($A10,Table1[],37,FALSE)</f>
        <v>0.93344155844155841</v>
      </c>
      <c r="E10" s="54">
        <f>VLOOKUP($A10,Table1[],38,FALSE)</f>
        <v>0.70652378266591465</v>
      </c>
      <c r="F10" s="54">
        <f>VLOOKUP($A10,Table1[],39,FALSE)</f>
        <v>0.41405905685323929</v>
      </c>
      <c r="G10" s="54">
        <f>Table6[[#Totals],[Current Ratio]]</f>
        <v>2.8475247945914224</v>
      </c>
      <c r="H10" s="54">
        <f>Table6[[#Totals],[Cash Ratio]]</f>
        <v>1.4071143132648956</v>
      </c>
      <c r="I10" s="54">
        <f>Table6[[#Totals],[Debt-Equity]]</f>
        <v>0.62157194047722997</v>
      </c>
      <c r="J10" s="54">
        <f>Table6[[#Totals],[Debt-Assest]]</f>
        <v>0.3461503077104412</v>
      </c>
    </row>
    <row r="11" spans="1:10" x14ac:dyDescent="0.25">
      <c r="A11" s="34" t="e" vm="8">
        <f>'Production &amp; FA'!B8</f>
        <v>#VALUE!</v>
      </c>
      <c r="B11" s="34" t="str">
        <f>VLOOKUP($A11,Table1[],2,FALSE)</f>
        <v>Large Cap Senior</v>
      </c>
      <c r="C11" s="54">
        <f>VLOOKUP($A11,Table1[],36,FALSE)</f>
        <v>2.8985690235690234</v>
      </c>
      <c r="D11" s="54">
        <f>VLOOKUP($A11,Table1[],37,FALSE)</f>
        <v>1.3947811447811447</v>
      </c>
      <c r="E11" s="54">
        <f>VLOOKUP($A11,Table1[],38,FALSE)</f>
        <v>1.0712952594251586</v>
      </c>
      <c r="F11" s="54">
        <f>VLOOKUP($A11,Table1[],39,FALSE)</f>
        <v>0.51721030816363311</v>
      </c>
      <c r="G11" s="54">
        <f>Table6[[#Totals],[Current Ratio]]</f>
        <v>2.8475247945914224</v>
      </c>
      <c r="H11" s="54">
        <f>Table6[[#Totals],[Cash Ratio]]</f>
        <v>1.4071143132648956</v>
      </c>
      <c r="I11" s="54">
        <f>Table6[[#Totals],[Debt-Equity]]</f>
        <v>0.62157194047722997</v>
      </c>
      <c r="J11" s="54">
        <f>Table6[[#Totals],[Debt-Assest]]</f>
        <v>0.3461503077104412</v>
      </c>
    </row>
    <row r="12" spans="1:10" x14ac:dyDescent="0.25">
      <c r="A12" s="34" t="e" vm="38">
        <f>'Production &amp; FA'!B5</f>
        <v>#VALUE!</v>
      </c>
      <c r="B12" s="34" t="str">
        <f>VLOOKUP($A12,Table1[],2,FALSE)</f>
        <v>Large Cap Senior</v>
      </c>
      <c r="C12" s="54">
        <f>VLOOKUP($A12,Table1[],36,FALSE)</f>
        <v>2.629769392033543</v>
      </c>
      <c r="D12" s="54">
        <f>VLOOKUP($A12,Table1[],37,FALSE)</f>
        <v>1.0398322851153039</v>
      </c>
      <c r="E12" s="54">
        <f>VLOOKUP($A12,Table1[],38,FALSE)</f>
        <v>0.86619981325863682</v>
      </c>
      <c r="F12" s="54">
        <f>VLOOKUP($A12,Table1[],39,FALSE)</f>
        <v>0.46415169860409267</v>
      </c>
      <c r="G12" s="54">
        <f>Table6[[#Totals],[Current Ratio]]</f>
        <v>2.8475247945914224</v>
      </c>
      <c r="H12" s="54">
        <f>Table6[[#Totals],[Cash Ratio]]</f>
        <v>1.4071143132648956</v>
      </c>
      <c r="I12" s="54">
        <f>Table6[[#Totals],[Debt-Equity]]</f>
        <v>0.62157194047722997</v>
      </c>
      <c r="J12" s="54">
        <f>Table6[[#Totals],[Debt-Assest]]</f>
        <v>0.3461503077104412</v>
      </c>
    </row>
    <row r="13" spans="1:10" hidden="1" x14ac:dyDescent="0.25">
      <c r="A13" s="34" t="e" vm="39">
        <f>'Production &amp; FA'!B15</f>
        <v>#VALUE!</v>
      </c>
      <c r="B13" s="34" t="str">
        <f>VLOOKUP($A13,Table1[],2,FALSE)</f>
        <v>Mid Cap Senior</v>
      </c>
      <c r="C13" s="54">
        <f>VLOOKUP($A13,Table1[],36,FALSE)</f>
        <v>2.4666666666666668</v>
      </c>
      <c r="D13" s="54">
        <f>VLOOKUP($A13,Table1[],37,FALSE)</f>
        <v>0.8545454545454545</v>
      </c>
      <c r="E13" s="54">
        <f>VLOOKUP($A13,Table1[],38,FALSE)</f>
        <v>0.34824120603015074</v>
      </c>
      <c r="F13" s="54">
        <f>VLOOKUP($A13,Table1[],39,FALSE)</f>
        <v>0.25829295564666416</v>
      </c>
      <c r="G13" s="54">
        <f>Table6[[#Totals],[Current Ratio]]</f>
        <v>2.8475247945914224</v>
      </c>
      <c r="H13" s="54">
        <f>Table6[[#Totals],[Cash Ratio]]</f>
        <v>1.4071143132648956</v>
      </c>
      <c r="I13" s="54">
        <f>Table6[[#Totals],[Debt-Equity]]</f>
        <v>0.62157194047722997</v>
      </c>
      <c r="J13" s="54">
        <f>Table6[[#Totals],[Debt-Assest]]</f>
        <v>0.3461503077104412</v>
      </c>
    </row>
    <row r="14" spans="1:10" hidden="1" x14ac:dyDescent="0.25">
      <c r="A14" s="34" t="e" vm="40">
        <f>'Production &amp; FA'!B40</f>
        <v>#VALUE!</v>
      </c>
      <c r="B14" s="34" t="str">
        <f>VLOOKUP($A14,Table1[],2,FALSE)</f>
        <v>Small Cap Junior</v>
      </c>
      <c r="C14" s="54">
        <f>VLOOKUP($A14,Table1[],36,FALSE)</f>
        <v>2.1785714285714284</v>
      </c>
      <c r="D14" s="54">
        <f>VLOOKUP($A14,Table1[],37,FALSE)</f>
        <v>1.2857142857142858</v>
      </c>
      <c r="E14" s="54">
        <f>VLOOKUP($A14,Table1[],38,FALSE)</f>
        <v>0.38164251207729466</v>
      </c>
      <c r="F14" s="54">
        <f>VLOOKUP($A14,Table1[],39,FALSE)</f>
        <v>0.2762237762237762</v>
      </c>
      <c r="G14" s="54">
        <f>Table6[[#Totals],[Current Ratio]]</f>
        <v>2.8475247945914224</v>
      </c>
      <c r="H14" s="54">
        <f>Table6[[#Totals],[Cash Ratio]]</f>
        <v>1.4071143132648956</v>
      </c>
      <c r="I14" s="54">
        <f>Table6[[#Totals],[Debt-Equity]]</f>
        <v>0.62157194047722997</v>
      </c>
      <c r="J14" s="54">
        <f>Table6[[#Totals],[Debt-Assest]]</f>
        <v>0.3461503077104412</v>
      </c>
    </row>
    <row r="15" spans="1:10" hidden="1" x14ac:dyDescent="0.25">
      <c r="A15" s="34" t="e" vm="41">
        <f>'Production &amp; FA'!B22</f>
        <v>#VALUE!</v>
      </c>
      <c r="B15" s="34" t="str">
        <f>VLOOKUP($A15,Table1[],2,FALSE)</f>
        <v>Small Cap Senior</v>
      </c>
      <c r="C15" s="54">
        <f>VLOOKUP($A15,Table1[],36,FALSE)</f>
        <v>1.9639639639639639</v>
      </c>
      <c r="D15" s="54">
        <f>VLOOKUP($A15,Table1[],37,FALSE)</f>
        <v>0.80180180180180183</v>
      </c>
      <c r="E15" s="54">
        <f>VLOOKUP($A15,Table1[],38,FALSE)</f>
        <v>0.36134699853587116</v>
      </c>
      <c r="F15" s="54">
        <f>VLOOKUP($A15,Table1[],39,FALSE)</f>
        <v>0.26543342654334268</v>
      </c>
      <c r="G15" s="54">
        <f>Table6[[#Totals],[Current Ratio]]</f>
        <v>2.8475247945914224</v>
      </c>
      <c r="H15" s="54">
        <f>Table6[[#Totals],[Cash Ratio]]</f>
        <v>1.4071143132648956</v>
      </c>
      <c r="I15" s="54">
        <f>Table6[[#Totals],[Debt-Equity]]</f>
        <v>0.62157194047722997</v>
      </c>
      <c r="J15" s="54">
        <f>Table6[[#Totals],[Debt-Assest]]</f>
        <v>0.3461503077104412</v>
      </c>
    </row>
    <row r="16" spans="1:10" x14ac:dyDescent="0.25">
      <c r="A16" s="34" t="e" vm="42">
        <f>'Production &amp; FA'!B6</f>
        <v>#VALUE!</v>
      </c>
      <c r="B16" s="34" t="str">
        <f>VLOOKUP($A16,Table1[],2,FALSE)</f>
        <v>Large Cap Senior</v>
      </c>
      <c r="C16" s="54">
        <f>VLOOKUP($A16,Table1[],36,FALSE)</f>
        <v>1.9064748201438848</v>
      </c>
      <c r="D16" s="54">
        <f>VLOOKUP($A16,Table1[],37,FALSE)</f>
        <v>1.6954436450839327</v>
      </c>
      <c r="E16" s="54">
        <f>VLOOKUP($A16,Table1[],38,FALSE)</f>
        <v>0.40781507980187121</v>
      </c>
      <c r="F16" s="54">
        <f>VLOOKUP($A16,Table1[],39,FALSE)</f>
        <v>0.28967943706020327</v>
      </c>
      <c r="G16" s="54">
        <f>Table6[[#Totals],[Current Ratio]]</f>
        <v>2.8475247945914224</v>
      </c>
      <c r="H16" s="54">
        <f>Table6[[#Totals],[Cash Ratio]]</f>
        <v>1.4071143132648956</v>
      </c>
      <c r="I16" s="54">
        <f>Table6[[#Totals],[Debt-Equity]]</f>
        <v>0.62157194047722997</v>
      </c>
      <c r="J16" s="54">
        <f>Table6[[#Totals],[Debt-Assest]]</f>
        <v>0.3461503077104412</v>
      </c>
    </row>
    <row r="17" spans="1:10" hidden="1" x14ac:dyDescent="0.25">
      <c r="A17" s="34" t="e" vm="43">
        <f>'Production &amp; FA'!B35</f>
        <v>#VALUE!</v>
      </c>
      <c r="B17" s="34" t="str">
        <f>VLOOKUP($A17,Table1[],2,FALSE)</f>
        <v>Small Cap Junior</v>
      </c>
      <c r="C17" s="54">
        <f>VLOOKUP($A17,Table1[],36,FALSE)</f>
        <v>1.8775510204081634</v>
      </c>
      <c r="D17" s="54">
        <f>VLOOKUP($A17,Table1[],37,FALSE)</f>
        <v>0.93877551020408168</v>
      </c>
      <c r="E17" s="54">
        <f>VLOOKUP($A17,Table1[],38,FALSE)</f>
        <v>0.26452905811623245</v>
      </c>
      <c r="F17" s="54">
        <f>VLOOKUP($A17,Table1[],39,FALSE)</f>
        <v>0.2091917591125198</v>
      </c>
      <c r="G17" s="54">
        <f>Table6[[#Totals],[Current Ratio]]</f>
        <v>2.8475247945914224</v>
      </c>
      <c r="H17" s="54">
        <f>Table6[[#Totals],[Cash Ratio]]</f>
        <v>1.4071143132648956</v>
      </c>
      <c r="I17" s="54">
        <f>Table6[[#Totals],[Debt-Equity]]</f>
        <v>0.62157194047722997</v>
      </c>
      <c r="J17" s="54">
        <f>Table6[[#Totals],[Debt-Assest]]</f>
        <v>0.3461503077104412</v>
      </c>
    </row>
    <row r="18" spans="1:10" hidden="1" x14ac:dyDescent="0.25">
      <c r="A18" s="34" t="e" vm="44">
        <f>'Production &amp; FA'!B26</f>
        <v>#VALUE!</v>
      </c>
      <c r="B18" s="34" t="str">
        <f>VLOOKUP($A18,Table1[],2,FALSE)</f>
        <v>Small Cap Senior</v>
      </c>
      <c r="C18" s="54">
        <f>VLOOKUP($A18,Table1[],36,FALSE)</f>
        <v>1.7191780821917808</v>
      </c>
      <c r="D18" s="54">
        <f>VLOOKUP($A18,Table1[],37,FALSE)</f>
        <v>0.67123287671232879</v>
      </c>
      <c r="E18" s="54">
        <f>VLOOKUP($A18,Table1[],38,FALSE)</f>
        <v>0.39097744360902253</v>
      </c>
      <c r="F18" s="54">
        <f>VLOOKUP($A18,Table1[],39,FALSE)</f>
        <v>0.2810810810810811</v>
      </c>
      <c r="G18" s="54">
        <f>Table6[[#Totals],[Current Ratio]]</f>
        <v>2.8475247945914224</v>
      </c>
      <c r="H18" s="54">
        <f>Table6[[#Totals],[Cash Ratio]]</f>
        <v>1.4071143132648956</v>
      </c>
      <c r="I18" s="54">
        <f>Table6[[#Totals],[Debt-Equity]]</f>
        <v>0.62157194047722997</v>
      </c>
      <c r="J18" s="54">
        <f>Table6[[#Totals],[Debt-Assest]]</f>
        <v>0.3461503077104412</v>
      </c>
    </row>
    <row r="19" spans="1:10" hidden="1" x14ac:dyDescent="0.25">
      <c r="A19" s="34" t="e" vm="45">
        <f>'Production &amp; FA'!B34</f>
        <v>#VALUE!</v>
      </c>
      <c r="B19" s="34" t="str">
        <f>VLOOKUP($A19,Table1[],2,FALSE)</f>
        <v>Small Cap Junior</v>
      </c>
      <c r="C19" s="54">
        <f>VLOOKUP($A19,Table1[],36,FALSE)</f>
        <v>1.5666666666666667</v>
      </c>
      <c r="D19" s="54">
        <f>VLOOKUP($A19,Table1[],37,FALSE)</f>
        <v>1</v>
      </c>
      <c r="E19" s="54">
        <f>VLOOKUP($A19,Table1[],38,FALSE)</f>
        <v>0.24</v>
      </c>
      <c r="F19" s="54">
        <f>VLOOKUP($A19,Table1[],39,FALSE)</f>
        <v>0.19354838709677419</v>
      </c>
      <c r="G19" s="54">
        <f>Table6[[#Totals],[Current Ratio]]</f>
        <v>2.8475247945914224</v>
      </c>
      <c r="H19" s="54">
        <f>Table6[[#Totals],[Cash Ratio]]</f>
        <v>1.4071143132648956</v>
      </c>
      <c r="I19" s="54">
        <f>Table6[[#Totals],[Debt-Equity]]</f>
        <v>0.62157194047722997</v>
      </c>
      <c r="J19" s="54">
        <f>Table6[[#Totals],[Debt-Assest]]</f>
        <v>0.3461503077104412</v>
      </c>
    </row>
    <row r="20" spans="1:10" x14ac:dyDescent="0.25">
      <c r="A20" s="34" t="e" vm="46">
        <f>'Production &amp; FA'!B7</f>
        <v>#VALUE!</v>
      </c>
      <c r="B20" s="34" t="str">
        <f>VLOOKUP($A20,Table1[],2,FALSE)</f>
        <v>Large Cap Senior</v>
      </c>
      <c r="C20" s="54">
        <f>VLOOKUP($A20,Table1[],36,FALSE)</f>
        <v>1.5386597938144331</v>
      </c>
      <c r="D20" s="54">
        <f>VLOOKUP($A20,Table1[],37,FALSE)</f>
        <v>0.41494845360824745</v>
      </c>
      <c r="E20" s="54">
        <f>VLOOKUP($A20,Table1[],38,FALSE)</f>
        <v>0.71948356807511737</v>
      </c>
      <c r="F20" s="54">
        <f>VLOOKUP($A20,Table1[],39,FALSE)</f>
        <v>0.41843003412969282</v>
      </c>
      <c r="G20" s="54">
        <f>Table6[[#Totals],[Current Ratio]]</f>
        <v>2.8475247945914224</v>
      </c>
      <c r="H20" s="54">
        <f>Table6[[#Totals],[Cash Ratio]]</f>
        <v>1.4071143132648956</v>
      </c>
      <c r="I20" s="54">
        <f>Table6[[#Totals],[Debt-Equity]]</f>
        <v>0.62157194047722997</v>
      </c>
      <c r="J20" s="54">
        <f>Table6[[#Totals],[Debt-Assest]]</f>
        <v>0.3461503077104412</v>
      </c>
    </row>
    <row r="21" spans="1:10" hidden="1" x14ac:dyDescent="0.25">
      <c r="A21" s="34" t="e" vm="47">
        <f>'Production &amp; FA'!B27</f>
        <v>#VALUE!</v>
      </c>
      <c r="B21" s="34" t="str">
        <f>VLOOKUP($A21,Table1[],2,FALSE)</f>
        <v>Small Cap Senior</v>
      </c>
      <c r="C21" s="54">
        <f>VLOOKUP($A21,Table1[],36,FALSE)</f>
        <v>1.3950617283950617</v>
      </c>
      <c r="D21" s="54">
        <f>VLOOKUP($A21,Table1[],37,FALSE)</f>
        <v>0.66666666666666663</v>
      </c>
      <c r="E21" s="54">
        <f>VLOOKUP($A21,Table1[],38,FALSE)</f>
        <v>0.47305389221556887</v>
      </c>
      <c r="F21" s="54">
        <f>VLOOKUP($A21,Table1[],39,FALSE)</f>
        <v>0.32113821138211385</v>
      </c>
      <c r="G21" s="54">
        <f>Table6[[#Totals],[Current Ratio]]</f>
        <v>2.8475247945914224</v>
      </c>
      <c r="H21" s="54">
        <f>Table6[[#Totals],[Cash Ratio]]</f>
        <v>1.4071143132648956</v>
      </c>
      <c r="I21" s="54">
        <f>Table6[[#Totals],[Debt-Equity]]</f>
        <v>0.62157194047722997</v>
      </c>
      <c r="J21" s="54">
        <f>Table6[[#Totals],[Debt-Assest]]</f>
        <v>0.3461503077104412</v>
      </c>
    </row>
    <row r="22" spans="1:10" hidden="1" x14ac:dyDescent="0.25">
      <c r="A22" s="34" t="e" vm="48">
        <f>'Production &amp; FA'!B13</f>
        <v>#VALUE!</v>
      </c>
      <c r="B22" s="34" t="str">
        <f>VLOOKUP($A22,Table1[],2,FALSE)</f>
        <v>Mid Cap Senior</v>
      </c>
      <c r="C22" s="54">
        <f>VLOOKUP($A22,Table1[],36,FALSE)</f>
        <v>1.3792623521224774</v>
      </c>
      <c r="D22" s="54">
        <f>VLOOKUP($A22,Table1[],37,FALSE)</f>
        <v>0.31732776617954073</v>
      </c>
      <c r="E22" s="54">
        <f>VLOOKUP($A22,Table1[],38,FALSE)</f>
        <v>1.5996212121212121</v>
      </c>
      <c r="F22" s="54">
        <f>VLOOKUP($A22,Table1[],39,FALSE)</f>
        <v>0.61532857351012682</v>
      </c>
      <c r="G22" s="54">
        <f>Table6[[#Totals],[Current Ratio]]</f>
        <v>2.8475247945914224</v>
      </c>
      <c r="H22" s="54">
        <f>Table6[[#Totals],[Cash Ratio]]</f>
        <v>1.4071143132648956</v>
      </c>
      <c r="I22" s="54">
        <f>Table6[[#Totals],[Debt-Equity]]</f>
        <v>0.62157194047722997</v>
      </c>
      <c r="J22" s="54">
        <f>Table6[[#Totals],[Debt-Assest]]</f>
        <v>0.3461503077104412</v>
      </c>
    </row>
    <row r="23" spans="1:10" hidden="1" x14ac:dyDescent="0.25">
      <c r="A23" s="34" t="e" vm="49">
        <f>'Production &amp; FA'!B36</f>
        <v>#VALUE!</v>
      </c>
      <c r="B23" s="34" t="str">
        <f>VLOOKUP($A23,Table1[],2,FALSE)</f>
        <v>Small Cap Junior</v>
      </c>
      <c r="C23" s="54">
        <f>VLOOKUP($A23,Table1[],36,FALSE)</f>
        <v>1.3313953488372092</v>
      </c>
      <c r="D23" s="54">
        <f>VLOOKUP($A23,Table1[],37,FALSE)</f>
        <v>0.48255813953488375</v>
      </c>
      <c r="E23" s="54">
        <f>VLOOKUP($A23,Table1[],38,FALSE)</f>
        <v>1.2455775234131112</v>
      </c>
      <c r="F23" s="54">
        <f>VLOOKUP($A23,Table1[],39,FALSE)</f>
        <v>0.55442334414080596</v>
      </c>
      <c r="G23" s="54">
        <f>Table6[[#Totals],[Current Ratio]]</f>
        <v>2.8475247945914224</v>
      </c>
      <c r="H23" s="54">
        <f>Table6[[#Totals],[Cash Ratio]]</f>
        <v>1.4071143132648956</v>
      </c>
      <c r="I23" s="54">
        <f>Table6[[#Totals],[Debt-Equity]]</f>
        <v>0.62157194047722997</v>
      </c>
      <c r="J23" s="54">
        <f>Table6[[#Totals],[Debt-Assest]]</f>
        <v>0.3461503077104412</v>
      </c>
    </row>
    <row r="24" spans="1:10" hidden="1" x14ac:dyDescent="0.25">
      <c r="A24" s="34" t="e" vm="50">
        <f>'Production &amp; FA'!B24</f>
        <v>#VALUE!</v>
      </c>
      <c r="B24" s="34" t="str">
        <f>VLOOKUP($A24,Table1[],2,FALSE)</f>
        <v>Small Cap Senior</v>
      </c>
      <c r="C24" s="54">
        <f>VLOOKUP($A24,Table1[],36,FALSE)</f>
        <v>1.2844827586206897</v>
      </c>
      <c r="D24" s="54">
        <f>VLOOKUP($A24,Table1[],37,FALSE)</f>
        <v>0.65517241379310343</v>
      </c>
      <c r="E24" s="54">
        <f>VLOOKUP($A24,Table1[],38,FALSE)</f>
        <v>2.0171306209850108</v>
      </c>
      <c r="F24" s="54">
        <f>VLOOKUP($A24,Table1[],39,FALSE)</f>
        <v>0.66855926188786374</v>
      </c>
      <c r="G24" s="54">
        <f>Table6[[#Totals],[Current Ratio]]</f>
        <v>2.8475247945914224</v>
      </c>
      <c r="H24" s="54">
        <f>Table6[[#Totals],[Cash Ratio]]</f>
        <v>1.4071143132648956</v>
      </c>
      <c r="I24" s="54">
        <f>Table6[[#Totals],[Debt-Equity]]</f>
        <v>0.62157194047722997</v>
      </c>
      <c r="J24" s="54">
        <f>Table6[[#Totals],[Debt-Assest]]</f>
        <v>0.3461503077104412</v>
      </c>
    </row>
    <row r="25" spans="1:10" hidden="1" x14ac:dyDescent="0.25">
      <c r="A25" s="34" t="e" vm="51">
        <f>'Production &amp; FA'!B32</f>
        <v>#VALUE!</v>
      </c>
      <c r="B25" s="34" t="str">
        <f>VLOOKUP($A25,Table1[],2,FALSE)</f>
        <v>Small Cap Junior</v>
      </c>
      <c r="C25" s="54">
        <f>VLOOKUP($A25,Table1[],36,FALSE)</f>
        <v>1.1268391410140763</v>
      </c>
      <c r="D25" s="54">
        <f>VLOOKUP($A25,Table1[],37,FALSE)</f>
        <v>0.5132994246643876</v>
      </c>
      <c r="E25" s="54">
        <f>VLOOKUP($A25,Table1[],38,FALSE)</f>
        <v>1.0824494676957963</v>
      </c>
      <c r="F25" s="54">
        <f>VLOOKUP($A25,Table1[],39,FALSE)</f>
        <v>0.51979627092392922</v>
      </c>
      <c r="G25" s="54">
        <f>Table6[[#Totals],[Current Ratio]]</f>
        <v>2.8475247945914224</v>
      </c>
      <c r="H25" s="54">
        <f>Table6[[#Totals],[Cash Ratio]]</f>
        <v>1.4071143132648956</v>
      </c>
      <c r="I25" s="54">
        <f>Table6[[#Totals],[Debt-Equity]]</f>
        <v>0.62157194047722997</v>
      </c>
      <c r="J25" s="54">
        <f>Table6[[#Totals],[Debt-Assest]]</f>
        <v>0.3461503077104412</v>
      </c>
    </row>
    <row r="26" spans="1:10" hidden="1" x14ac:dyDescent="0.25">
      <c r="A26" s="34" t="e" vm="52">
        <f>'Production &amp; FA'!B16</f>
        <v>#VALUE!</v>
      </c>
      <c r="B26" s="34" t="str">
        <f>VLOOKUP($A26,Table1[],2,FALSE)</f>
        <v>Mid Cap Senior</v>
      </c>
      <c r="C26" s="54">
        <f>VLOOKUP($A26,Table1[],36,FALSE)</f>
        <v>0.98432908912830563</v>
      </c>
      <c r="D26" s="54">
        <f>VLOOKUP($A26,Table1[],37,FALSE)</f>
        <v>0.38883447600391779</v>
      </c>
      <c r="E26" s="54">
        <f>VLOOKUP($A26,Table1[],38,FALSE)</f>
        <v>0.6865802507168417</v>
      </c>
      <c r="F26" s="54">
        <f>VLOOKUP($A26,Table1[],39,FALSE)</f>
        <v>0.40708424661383696</v>
      </c>
      <c r="G26" s="54">
        <f>Table6[[#Totals],[Current Ratio]]</f>
        <v>2.8475247945914224</v>
      </c>
      <c r="H26" s="54">
        <f>Table6[[#Totals],[Cash Ratio]]</f>
        <v>1.4071143132648956</v>
      </c>
      <c r="I26" s="54">
        <f>Table6[[#Totals],[Debt-Equity]]</f>
        <v>0.62157194047722997</v>
      </c>
      <c r="J26" s="54">
        <f>Table6[[#Totals],[Debt-Assest]]</f>
        <v>0.3461503077104412</v>
      </c>
    </row>
    <row r="27" spans="1:10" hidden="1" x14ac:dyDescent="0.25">
      <c r="A27" s="34" t="e" vm="53">
        <f>'Production &amp; FA'!B31</f>
        <v>#VALUE!</v>
      </c>
      <c r="B27" s="34" t="str">
        <f>VLOOKUP($A27,Table1[],2,FALSE)</f>
        <v>Small Cap Junior</v>
      </c>
      <c r="C27" s="54">
        <f>VLOOKUP($A27,Table1[],36,FALSE)</f>
        <v>0.90322580645161288</v>
      </c>
      <c r="D27" s="54">
        <f>VLOOKUP($A27,Table1[],37,FALSE)</f>
        <v>0.18279569892473119</v>
      </c>
      <c r="E27" s="54">
        <f>VLOOKUP($A27,Table1[],38,FALSE)</f>
        <v>0.36075949367088606</v>
      </c>
      <c r="F27" s="54">
        <f>VLOOKUP($A27,Table1[],39,FALSE)</f>
        <v>0.26511627906976742</v>
      </c>
      <c r="G27" s="54">
        <f>Table6[[#Totals],[Current Ratio]]</f>
        <v>2.8475247945914224</v>
      </c>
      <c r="H27" s="54">
        <f>Table6[[#Totals],[Cash Ratio]]</f>
        <v>1.4071143132648956</v>
      </c>
      <c r="I27" s="54">
        <f>Table6[[#Totals],[Debt-Equity]]</f>
        <v>0.62157194047722997</v>
      </c>
      <c r="J27" s="54">
        <f>Table6[[#Totals],[Debt-Assest]]</f>
        <v>0.3461503077104412</v>
      </c>
    </row>
    <row r="28" spans="1:10" hidden="1" x14ac:dyDescent="0.25">
      <c r="A28" s="34" t="e" vm="54">
        <f>'Production &amp; FA'!B37</f>
        <v>#VALUE!</v>
      </c>
      <c r="B28" s="34" t="str">
        <f>VLOOKUP($A28,Table1[],2,FALSE)</f>
        <v>Small Cap Junior</v>
      </c>
      <c r="C28" s="54">
        <f>VLOOKUP($A28,Table1[],36,FALSE)</f>
        <v>0.77960526315789469</v>
      </c>
      <c r="D28" s="54">
        <f>VLOOKUP($A28,Table1[],37,FALSE)</f>
        <v>9.8684210526315791E-2</v>
      </c>
      <c r="E28" s="54">
        <f>VLOOKUP($A28,Table1[],38,FALSE)</f>
        <v>1.1420765027322404</v>
      </c>
      <c r="F28" s="54">
        <f>VLOOKUP($A28,Table1[],39,FALSE)</f>
        <v>0.53061224489795922</v>
      </c>
      <c r="G28" s="54">
        <f>Table6[[#Totals],[Current Ratio]]</f>
        <v>2.8475247945914224</v>
      </c>
      <c r="H28" s="54">
        <f>Table6[[#Totals],[Cash Ratio]]</f>
        <v>1.4071143132648956</v>
      </c>
      <c r="I28" s="54">
        <f>Table6[[#Totals],[Debt-Equity]]</f>
        <v>0.62157194047722997</v>
      </c>
      <c r="J28" s="54">
        <f>Table6[[#Totals],[Debt-Assest]]</f>
        <v>0.3461503077104412</v>
      </c>
    </row>
    <row r="29" spans="1:10" hidden="1" x14ac:dyDescent="0.25">
      <c r="A29" s="34" t="e" vm="55">
        <f>'Production &amp; FA'!B17</f>
        <v>#VALUE!</v>
      </c>
      <c r="B29" s="34" t="str">
        <f>VLOOKUP($A29,Table1[],2,FALSE)</f>
        <v>Mid Cap Senior</v>
      </c>
      <c r="C29" s="54">
        <f>VLOOKUP($A29,Table1[],36,FALSE)</f>
        <v>0.48837209302325579</v>
      </c>
      <c r="D29" s="54">
        <f>VLOOKUP($A29,Table1[],37,FALSE)</f>
        <v>0.17829457364341086</v>
      </c>
      <c r="E29" s="54">
        <f>VLOOKUP($A29,Table1[],38,FALSE)</f>
        <v>0.64884696016771493</v>
      </c>
      <c r="F29" s="54">
        <f>VLOOKUP($A29,Table1[],39,FALSE)</f>
        <v>0.39351557533375714</v>
      </c>
      <c r="G29" s="54">
        <f>Table6[[#Totals],[Current Ratio]]</f>
        <v>2.8475247945914224</v>
      </c>
      <c r="H29" s="54">
        <f>Table6[[#Totals],[Cash Ratio]]</f>
        <v>1.4071143132648956</v>
      </c>
      <c r="I29" s="54">
        <f>Table6[[#Totals],[Debt-Equity]]</f>
        <v>0.62157194047722997</v>
      </c>
      <c r="J29" s="54">
        <f>Table6[[#Totals],[Debt-Assest]]</f>
        <v>0.3461503077104412</v>
      </c>
    </row>
    <row r="30" spans="1:10" hidden="1" x14ac:dyDescent="0.25">
      <c r="A30" s="34" t="e" vm="56">
        <f>'Production &amp; FA'!B33</f>
        <v>#VALUE!</v>
      </c>
      <c r="B30" s="34" t="str">
        <f>VLOOKUP($A30,Table1[],2,FALSE)</f>
        <v>Small Cap Junior</v>
      </c>
      <c r="C30" s="54">
        <f>VLOOKUP($A30,Table1[],36,FALSE)</f>
        <v>0.25641025641025639</v>
      </c>
      <c r="D30" s="54">
        <f>VLOOKUP($A30,Table1[],37,FALSE)</f>
        <v>5.128205128205128E-2</v>
      </c>
      <c r="E30" s="54" t="str">
        <f>VLOOKUP($A30,Table1[],38,FALSE)</f>
        <v>N/A</v>
      </c>
      <c r="F30" s="54">
        <f>VLOOKUP($A30,Table1[],39,FALSE)</f>
        <v>1.1463414634146341</v>
      </c>
      <c r="G30" s="54">
        <f>Table6[[#Totals],[Current Ratio]]</f>
        <v>2.8475247945914224</v>
      </c>
      <c r="H30" s="54">
        <f>Table6[[#Totals],[Cash Ratio]]</f>
        <v>1.4071143132648956</v>
      </c>
      <c r="I30" s="54">
        <f>Table6[[#Totals],[Debt-Equity]]</f>
        <v>0.62157194047722997</v>
      </c>
      <c r="J30" s="54">
        <f>Table6[[#Totals],[Debt-Assest]]</f>
        <v>0.3461503077104412</v>
      </c>
    </row>
    <row r="31" spans="1:10" hidden="1" x14ac:dyDescent="0.25">
      <c r="A31" s="34" t="e" vm="57">
        <f>'Production &amp; FA'!B39</f>
        <v>#VALUE!</v>
      </c>
      <c r="B31" s="34" t="str">
        <f>VLOOKUP($A31,Table1[],2,FALSE)</f>
        <v>Small Cap Junior</v>
      </c>
      <c r="C31" s="54">
        <f>VLOOKUP($A31,Table1[],36,FALSE)</f>
        <v>0.20454545454545456</v>
      </c>
      <c r="D31" s="54">
        <f>VLOOKUP($A31,Table1[],37,FALSE)</f>
        <v>0.13636363636363635</v>
      </c>
      <c r="E31" s="54">
        <f>VLOOKUP($A31,Table1[],38,FALSE)</f>
        <v>0.33816964285714285</v>
      </c>
      <c r="F31" s="54">
        <f>VLOOKUP($A31,Table1[],39,FALSE)</f>
        <v>0.25271059216013342</v>
      </c>
      <c r="G31" s="54">
        <f>Table6[[#Totals],[Current Ratio]]</f>
        <v>2.8475247945914224</v>
      </c>
      <c r="H31" s="54">
        <f>Table6[[#Totals],[Cash Ratio]]</f>
        <v>1.4071143132648956</v>
      </c>
      <c r="I31" s="54">
        <f>Table6[[#Totals],[Debt-Equity]]</f>
        <v>0.62157194047722997</v>
      </c>
      <c r="J31" s="54">
        <f>Table6[[#Totals],[Debt-Assest]]</f>
        <v>0.3461503077104412</v>
      </c>
    </row>
    <row r="32" spans="1:10" hidden="1" x14ac:dyDescent="0.25">
      <c r="A32" s="34" t="e" vm="58">
        <f>'Production &amp; FA'!B38</f>
        <v>#VALUE!</v>
      </c>
      <c r="B32" s="34" t="str">
        <f>VLOOKUP($A32,Table1[],2,FALSE)</f>
        <v>Small Cap Junior</v>
      </c>
      <c r="C32" s="54">
        <f>VLOOKUP($A32,Table1[],36,FALSE)</f>
        <v>0</v>
      </c>
      <c r="D32" s="54">
        <f>VLOOKUP($A32,Table1[],37,FALSE)</f>
        <v>0</v>
      </c>
      <c r="E32" s="54">
        <f>VLOOKUP($A32,Table1[],38,FALSE)</f>
        <v>0</v>
      </c>
      <c r="F32" s="54">
        <f>VLOOKUP($A32,Table1[],39,FALSE)</f>
        <v>0</v>
      </c>
      <c r="G32" s="54">
        <f>Table6[[#Totals],[Current Ratio]]</f>
        <v>2.8475247945914224</v>
      </c>
      <c r="H32" s="54">
        <f>Table6[[#Totals],[Cash Ratio]]</f>
        <v>1.4071143132648956</v>
      </c>
      <c r="I32" s="54">
        <f>Table6[[#Totals],[Debt-Equity]]</f>
        <v>0.62157194047722997</v>
      </c>
      <c r="J32" s="54">
        <f>Table6[[#Totals],[Debt-Assest]]</f>
        <v>0.3461503077104412</v>
      </c>
    </row>
    <row r="33" spans="1:12" x14ac:dyDescent="0.25">
      <c r="A33" s="58" t="s">
        <v>157</v>
      </c>
      <c r="B33" s="60"/>
      <c r="C33" s="61">
        <f>SUBTOTAL(101,Table6[Current Ratio])</f>
        <v>2.8475247945914224</v>
      </c>
      <c r="D33" s="61">
        <f>SUBTOTAL(101,Table6[Cash Ratio])</f>
        <v>1.4071143132648956</v>
      </c>
      <c r="E33" s="61">
        <f>SUBTOTAL(101,Table6[Debt-Equity])</f>
        <v>0.62157194047722997</v>
      </c>
      <c r="F33" s="61">
        <f>SUBTOTAL(101,Table6[Debt-Assest])</f>
        <v>0.3461503077104412</v>
      </c>
      <c r="G33" s="62"/>
      <c r="H33" s="62"/>
      <c r="I33"/>
      <c r="J33"/>
    </row>
    <row r="35" spans="1:12" x14ac:dyDescent="0.25">
      <c r="A35" s="7" t="s">
        <v>75</v>
      </c>
      <c r="B35" s="7" t="s">
        <v>95</v>
      </c>
      <c r="C35" s="7" t="s">
        <v>60</v>
      </c>
      <c r="E35" s="7" t="s">
        <v>75</v>
      </c>
      <c r="F35" s="7" t="s">
        <v>95</v>
      </c>
      <c r="G35" s="7" t="s">
        <v>63</v>
      </c>
      <c r="H35" s="7" t="s">
        <v>163</v>
      </c>
      <c r="J35" s="7" t="s">
        <v>75</v>
      </c>
      <c r="K35" s="7" t="s">
        <v>95</v>
      </c>
      <c r="L35" s="7" t="s">
        <v>162</v>
      </c>
    </row>
    <row r="36" spans="1:12" x14ac:dyDescent="0.25">
      <c r="A36" t="e" vm="37">
        <v>#VALUE!</v>
      </c>
      <c r="B36" s="34" t="str">
        <f>VLOOKUP($A36,Table1[],2,FALSE)</f>
        <v>Large Cap Senior</v>
      </c>
      <c r="C36" s="34">
        <f>VLOOKUP(Table15[[#This Row],[Company]],Table1[],13,FALSE)</f>
        <v>6400000</v>
      </c>
      <c r="E36" t="e" vm="26">
        <v>#VALUE!</v>
      </c>
      <c r="F36" s="34" t="str">
        <f>VLOOKUP(Table16[[#This Row],[Company]],Table1[],2,FALSE)</f>
        <v>Large Cap Senior</v>
      </c>
      <c r="G36" s="34">
        <f>VLOOKUP(Table16[[#This Row],[Company]],Table1[],18,FALSE)</f>
        <v>344.64016736401675</v>
      </c>
      <c r="H36" s="15">
        <f>Table16[[#Totals],[AISC 2020E Guidance]]</f>
        <v>964.62552301255232</v>
      </c>
      <c r="J36" t="e" vm="37">
        <v>#VALUE!</v>
      </c>
      <c r="K36" s="34" t="str">
        <f>VLOOKUP(Table17[[#This Row],[Company]],Table1[],2,FALSE)</f>
        <v>Large Cap Senior</v>
      </c>
      <c r="L36" s="34">
        <f>VLOOKUP(Table17[[#This Row],[Company]],Table1[],27,FALSE)</f>
        <v>4609098000.000001</v>
      </c>
    </row>
    <row r="37" spans="1:12" x14ac:dyDescent="0.25">
      <c r="A37" t="e" vm="32">
        <v>#VALUE!</v>
      </c>
      <c r="B37" s="34" t="str">
        <f>VLOOKUP($A37,Table1[],2,FALSE)</f>
        <v>Large Cap Senior</v>
      </c>
      <c r="C37" s="34">
        <f>VLOOKUP(Table15[[#This Row],[Company]],Table1[],13,FALSE)</f>
        <v>1505000</v>
      </c>
      <c r="E37" t="e" vm="16">
        <v>#VALUE!</v>
      </c>
      <c r="F37" s="34" t="str">
        <f>VLOOKUP(Table16[[#This Row],[Company]],Table1[],2,FALSE)</f>
        <v>Small Cap Senior</v>
      </c>
      <c r="G37" s="34">
        <f>VLOOKUP(Table16[[#This Row],[Company]],Table1[],18,FALSE)</f>
        <v>621</v>
      </c>
      <c r="H37" s="15">
        <f>Table16[[#Totals],[AISC 2020E Guidance]]</f>
        <v>964.62552301255232</v>
      </c>
      <c r="J37" t="e" vm="32">
        <v>#VALUE!</v>
      </c>
      <c r="K37" s="34" t="str">
        <f>VLOOKUP(Table17[[#This Row],[Company]],Table1[],2,FALSE)</f>
        <v>Large Cap Senior</v>
      </c>
      <c r="L37" s="34">
        <f>VLOOKUP(Table17[[#This Row],[Company]],Table1[],27,FALSE)</f>
        <v>1081787700.0000002</v>
      </c>
    </row>
    <row r="38" spans="1:12" x14ac:dyDescent="0.25">
      <c r="A38" t="e" vm="33">
        <v>#VALUE!</v>
      </c>
      <c r="B38" s="34" t="str">
        <f>VLOOKUP($A38,Table1[],2,FALSE)</f>
        <v>Large Cap Senior</v>
      </c>
      <c r="C38" s="34">
        <f>VLOOKUP(Table15[[#This Row],[Company]],Table1[],13,FALSE)</f>
        <v>2000000</v>
      </c>
      <c r="E38" t="e" vm="15">
        <v>#VALUE!</v>
      </c>
      <c r="F38" s="34" t="str">
        <f>VLOOKUP(Table16[[#This Row],[Company]],Table1[],2,FALSE)</f>
        <v>Small Cap Junior</v>
      </c>
      <c r="G38" s="34">
        <f>VLOOKUP(Table16[[#This Row],[Company]],Table1[],18,FALSE)</f>
        <v>720</v>
      </c>
      <c r="H38" s="15">
        <f>Table16[[#Totals],[AISC 2020E Guidance]]</f>
        <v>964.62552301255232</v>
      </c>
      <c r="J38" t="e" vm="33">
        <v>#VALUE!</v>
      </c>
      <c r="K38" s="34" t="str">
        <f>VLOOKUP(Table17[[#This Row],[Company]],Table1[],2,FALSE)</f>
        <v>Large Cap Senior</v>
      </c>
      <c r="L38" s="34">
        <f>VLOOKUP(Table17[[#This Row],[Company]],Table1[],27,FALSE)</f>
        <v>1061081250.0000001</v>
      </c>
    </row>
    <row r="39" spans="1:12" x14ac:dyDescent="0.25">
      <c r="A39" t="e" vm="36">
        <v>#VALUE!</v>
      </c>
      <c r="B39" s="34" t="str">
        <f>VLOOKUP($A39,Table1[],2,FALSE)</f>
        <v>Large Cap Senior</v>
      </c>
      <c r="C39" s="34">
        <f>VLOOKUP(Table15[[#This Row],[Company]],Table1[],13,FALSE)</f>
        <v>5000000</v>
      </c>
      <c r="E39" t="e" vm="12">
        <v>#VALUE!</v>
      </c>
      <c r="F39" s="34" t="str">
        <f>VLOOKUP(Table16[[#This Row],[Company]],Table1[],2,FALSE)</f>
        <v>Small Cap Junior</v>
      </c>
      <c r="G39" s="34">
        <f>VLOOKUP(Table16[[#This Row],[Company]],Table1[],18,FALSE)</f>
        <v>750</v>
      </c>
      <c r="H39" s="15">
        <f>Table16[[#Totals],[AISC 2020E Guidance]]</f>
        <v>964.62552301255232</v>
      </c>
      <c r="J39" t="e" vm="36">
        <v>#VALUE!</v>
      </c>
      <c r="K39" s="34" t="str">
        <f>VLOOKUP(Table17[[#This Row],[Company]],Table1[],2,FALSE)</f>
        <v>Large Cap Senior</v>
      </c>
      <c r="L39" s="34">
        <f>VLOOKUP(Table17[[#This Row],[Company]],Table1[],27,FALSE)</f>
        <v>3025883750.0000005</v>
      </c>
    </row>
    <row r="40" spans="1:12" x14ac:dyDescent="0.25">
      <c r="A40" t="e" vm="26">
        <v>#VALUE!</v>
      </c>
      <c r="B40" s="34" t="str">
        <f>VLOOKUP($A40,Table1[],2,FALSE)</f>
        <v>Large Cap Senior</v>
      </c>
      <c r="C40" s="34">
        <f>VLOOKUP(Table15[[#This Row],[Company]],Table1[],13,FALSE)</f>
        <v>565000</v>
      </c>
      <c r="E40" t="e" vm="31">
        <v>#VALUE!</v>
      </c>
      <c r="F40" s="34" t="str">
        <f>VLOOKUP(Table16[[#This Row],[Company]],Table1[],2,FALSE)</f>
        <v>Mid Cap Senior</v>
      </c>
      <c r="G40" s="34">
        <f>VLOOKUP(Table16[[#This Row],[Company]],Table1[],18,FALSE)</f>
        <v>800</v>
      </c>
      <c r="H40" s="15">
        <f>Table16[[#Totals],[AISC 2020E Guidance]]</f>
        <v>964.62552301255232</v>
      </c>
      <c r="J40" t="e" vm="26">
        <v>#VALUE!</v>
      </c>
      <c r="K40" s="34" t="str">
        <f>VLOOKUP(Table17[[#This Row],[Company]],Table1[],2,FALSE)</f>
        <v>Large Cap Senior</v>
      </c>
      <c r="L40" s="34">
        <f>VLOOKUP(Table17[[#This Row],[Company]],Table1[],27,FALSE)</f>
        <v>690017455.43933058</v>
      </c>
    </row>
    <row r="41" spans="1:12" x14ac:dyDescent="0.25">
      <c r="A41" t="e" vm="29">
        <v>#VALUE!</v>
      </c>
      <c r="B41" s="34" t="str">
        <f>VLOOKUP($A41,Table1[],2,FALSE)</f>
        <v>Mid Cap Senior</v>
      </c>
      <c r="C41" s="34">
        <f>VLOOKUP(Table15[[#This Row],[Company]],Table1[],13,FALSE)</f>
        <v>805000</v>
      </c>
      <c r="E41" t="e" vm="14">
        <v>#VALUE!</v>
      </c>
      <c r="F41" s="34" t="str">
        <f>VLOOKUP(Table16[[#This Row],[Company]],Table1[],2,FALSE)</f>
        <v>Small Cap Junior</v>
      </c>
      <c r="G41" s="34">
        <f>VLOOKUP(Table16[[#This Row],[Company]],Table1[],18,FALSE)</f>
        <v>800</v>
      </c>
      <c r="H41" s="15">
        <f>Table16[[#Totals],[AISC 2020E Guidance]]</f>
        <v>964.62552301255232</v>
      </c>
      <c r="J41" t="e" vm="29">
        <v>#VALUE!</v>
      </c>
      <c r="K41" s="34" t="str">
        <f>VLOOKUP(Table17[[#This Row],[Company]],Table1[],2,FALSE)</f>
        <v>Mid Cap Senior</v>
      </c>
      <c r="L41" s="34">
        <f>VLOOKUP(Table17[[#This Row],[Company]],Table1[],27,FALSE)</f>
        <v>590309425.00000012</v>
      </c>
    </row>
    <row r="42" spans="1:12" x14ac:dyDescent="0.25">
      <c r="A42" t="e" vm="35">
        <v>#VALUE!</v>
      </c>
      <c r="B42" s="34" t="str">
        <f>VLOOKUP($A42,Table1[],2,FALSE)</f>
        <v>Mid Cap Senior</v>
      </c>
      <c r="C42" s="34">
        <f>VLOOKUP(Table15[[#This Row],[Company]],Table1[],13,FALSE)</f>
        <v>3175000</v>
      </c>
      <c r="E42" t="e" vm="32">
        <v>#VALUE!</v>
      </c>
      <c r="F42" s="34" t="str">
        <f>VLOOKUP(Table16[[#This Row],[Company]],Table1[],2,FALSE)</f>
        <v>Large Cap Senior</v>
      </c>
      <c r="G42" s="34">
        <f>VLOOKUP(Table16[[#This Row],[Company]],Table1[],18,FALSE)</f>
        <v>830</v>
      </c>
      <c r="H42" s="15">
        <f>Table16[[#Totals],[AISC 2020E Guidance]]</f>
        <v>964.62552301255232</v>
      </c>
      <c r="J42" t="e" vm="35">
        <v>#VALUE!</v>
      </c>
      <c r="K42" s="34" t="str">
        <f>VLOOKUP(Table17[[#This Row],[Company]],Table1[],2,FALSE)</f>
        <v>Mid Cap Senior</v>
      </c>
      <c r="L42" s="34">
        <f>VLOOKUP(Table17[[#This Row],[Company]],Table1[],27,FALSE)</f>
        <v>1574514250.0000002</v>
      </c>
    </row>
    <row r="43" spans="1:12" x14ac:dyDescent="0.25">
      <c r="A43" t="e" vm="34">
        <v>#VALUE!</v>
      </c>
      <c r="B43" s="34" t="str">
        <f>VLOOKUP($A43,Table1[],2,FALSE)</f>
        <v>Mid Cap Senior</v>
      </c>
      <c r="C43" s="34">
        <f>VLOOKUP(Table15[[#This Row],[Company]],Table1[],13,FALSE)</f>
        <v>2400000</v>
      </c>
      <c r="E43" t="e" vm="29">
        <v>#VALUE!</v>
      </c>
      <c r="F43" s="34" t="str">
        <f>VLOOKUP(Table16[[#This Row],[Company]],Table1[],2,FALSE)</f>
        <v>Mid Cap Senior</v>
      </c>
      <c r="G43" s="34">
        <f>VLOOKUP(Table16[[#This Row],[Company]],Table1[],18,FALSE)</f>
        <v>845</v>
      </c>
      <c r="H43" s="15">
        <f>Table16[[#Totals],[AISC 2020E Guidance]]</f>
        <v>964.62552301255232</v>
      </c>
      <c r="J43" t="e" vm="34">
        <v>#VALUE!</v>
      </c>
      <c r="K43" s="34" t="str">
        <f>VLOOKUP(Table17[[#This Row],[Company]],Table1[],2,FALSE)</f>
        <v>Mid Cap Senior</v>
      </c>
      <c r="L43" s="34">
        <f>VLOOKUP(Table17[[#This Row],[Company]],Table1[],27,FALSE)</f>
        <v>1430184000.0000002</v>
      </c>
    </row>
    <row r="44" spans="1:12" x14ac:dyDescent="0.25">
      <c r="A44" t="e" vm="31">
        <v>#VALUE!</v>
      </c>
      <c r="B44" s="34" t="str">
        <f>VLOOKUP($A44,Table1[],2,FALSE)</f>
        <v>Mid Cap Senior</v>
      </c>
      <c r="C44" s="34">
        <f>VLOOKUP(Table15[[#This Row],[Company]],Table1[],13,FALSE)</f>
        <v>1027500</v>
      </c>
      <c r="E44" t="e" vm="24">
        <v>#VALUE!</v>
      </c>
      <c r="F44" s="34" t="str">
        <f>VLOOKUP(Table16[[#This Row],[Company]],Table1[],2,FALSE)</f>
        <v>Small Cap Senior</v>
      </c>
      <c r="G44" s="34">
        <f>VLOOKUP(Table16[[#This Row],[Company]],Table1[],18,FALSE)</f>
        <v>895</v>
      </c>
      <c r="H44" s="15">
        <f>Table16[[#Totals],[AISC 2020E Guidance]]</f>
        <v>964.62552301255232</v>
      </c>
      <c r="J44" t="e" vm="31">
        <v>#VALUE!</v>
      </c>
      <c r="K44" s="34" t="str">
        <f>VLOOKUP(Table17[[#This Row],[Company]],Table1[],2,FALSE)</f>
        <v>Mid Cap Senior</v>
      </c>
      <c r="L44" s="34">
        <f>VLOOKUP(Table17[[#This Row],[Company]],Table1[],27,FALSE)</f>
        <v>786972525.00000012</v>
      </c>
    </row>
    <row r="45" spans="1:12" x14ac:dyDescent="0.25">
      <c r="A45" t="e" vm="30">
        <v>#VALUE!</v>
      </c>
      <c r="B45" s="34" t="str">
        <f>VLOOKUP($A45,Table1[],2,FALSE)</f>
        <v>Mid Cap Senior</v>
      </c>
      <c r="C45" s="34">
        <f>VLOOKUP(Table15[[#This Row],[Company]],Table1[],13,FALSE)</f>
        <v>990000</v>
      </c>
      <c r="E45" t="e" vm="25">
        <v>#VALUE!</v>
      </c>
      <c r="F45" s="34" t="str">
        <f>VLOOKUP(Table16[[#This Row],[Company]],Table1[],2,FALSE)</f>
        <v>Small Cap Senior</v>
      </c>
      <c r="G45" s="34">
        <f>VLOOKUP(Table16[[#This Row],[Company]],Table1[],18,FALSE)</f>
        <v>900</v>
      </c>
      <c r="H45" s="15">
        <f>Table16[[#Totals],[AISC 2020E Guidance]]</f>
        <v>964.62552301255232</v>
      </c>
      <c r="J45" t="e" vm="30">
        <v>#VALUE!</v>
      </c>
      <c r="K45" s="34" t="str">
        <f>VLOOKUP(Table17[[#This Row],[Company]],Table1[],2,FALSE)</f>
        <v>Mid Cap Senior</v>
      </c>
      <c r="L45" s="34">
        <f>VLOOKUP(Table17[[#This Row],[Company]],Table1[],27,FALSE)</f>
        <v>561240900.00000012</v>
      </c>
    </row>
    <row r="46" spans="1:12" x14ac:dyDescent="0.25">
      <c r="A46" t="e" vm="19">
        <v>#VALUE!</v>
      </c>
      <c r="B46" s="34" t="str">
        <f>VLOOKUP($A46,Table1[],2,FALSE)</f>
        <v>Mid Cap Senior</v>
      </c>
      <c r="C46" s="34">
        <f>VLOOKUP(Table15[[#This Row],[Company]],Table1[],13,FALSE)</f>
        <v>345000</v>
      </c>
      <c r="E46" t="e" vm="18">
        <v>#VALUE!</v>
      </c>
      <c r="F46" s="34" t="str">
        <f>VLOOKUP(Table16[[#This Row],[Company]],Table1[],2,FALSE)</f>
        <v>Small Cap Senior</v>
      </c>
      <c r="G46" s="34">
        <f>VLOOKUP(Table16[[#This Row],[Company]],Table1[],18,FALSE)</f>
        <v>927.5</v>
      </c>
      <c r="H46" s="15">
        <f>Table16[[#Totals],[AISC 2020E Guidance]]</f>
        <v>964.62552301255232</v>
      </c>
      <c r="J46" t="e" vm="19">
        <v>#VALUE!</v>
      </c>
      <c r="K46" s="34" t="str">
        <f>VLOOKUP(Table17[[#This Row],[Company]],Table1[],2,FALSE)</f>
        <v>Mid Cap Senior</v>
      </c>
      <c r="L46" s="34">
        <f>VLOOKUP(Table17[[#This Row],[Company]],Table1[],27,FALSE)</f>
        <v>200413950.00000003</v>
      </c>
    </row>
    <row r="47" spans="1:12" x14ac:dyDescent="0.25">
      <c r="A47" t="e" vm="22">
        <v>#VALUE!</v>
      </c>
      <c r="B47" s="34" t="str">
        <f>VLOOKUP($A47,Table1[],2,FALSE)</f>
        <v>Mid Cap Senior</v>
      </c>
      <c r="C47" s="34">
        <f>VLOOKUP(Table15[[#This Row],[Company]],Table1[],13,FALSE)</f>
        <v>445000</v>
      </c>
      <c r="E47" t="e" vm="23">
        <v>#VALUE!</v>
      </c>
      <c r="F47" s="34" t="str">
        <f>VLOOKUP(Table16[[#This Row],[Company]],Table1[],2,FALSE)</f>
        <v>Small Cap Senior</v>
      </c>
      <c r="G47" s="34">
        <f>VLOOKUP(Table16[[#This Row],[Company]],Table1[],18,FALSE)</f>
        <v>930</v>
      </c>
      <c r="H47" s="15">
        <f>Table16[[#Totals],[AISC 2020E Guidance]]</f>
        <v>964.62552301255232</v>
      </c>
      <c r="J47" t="e" vm="22">
        <v>#VALUE!</v>
      </c>
      <c r="K47" s="34" t="str">
        <f>VLOOKUP(Table17[[#This Row],[Company]],Table1[],2,FALSE)</f>
        <v>Mid Cap Senior</v>
      </c>
      <c r="L47" s="34">
        <f>VLOOKUP(Table17[[#This Row],[Company]],Table1[],27,FALSE)</f>
        <v>234029950.00000003</v>
      </c>
    </row>
    <row r="48" spans="1:12" x14ac:dyDescent="0.25">
      <c r="A48" t="e" vm="24">
        <v>#VALUE!</v>
      </c>
      <c r="B48" s="34" t="str">
        <f>VLOOKUP($A48,Table1[],2,FALSE)</f>
        <v>Small Cap Senior</v>
      </c>
      <c r="C48" s="34">
        <f>VLOOKUP(Table15[[#This Row],[Company]],Table1[],13,FALSE)</f>
        <v>525000</v>
      </c>
      <c r="E48" t="e" vm="36">
        <v>#VALUE!</v>
      </c>
      <c r="F48" s="34" t="str">
        <f>VLOOKUP(Table16[[#This Row],[Company]],Table1[],2,FALSE)</f>
        <v>Large Cap Senior</v>
      </c>
      <c r="G48" s="34">
        <f>VLOOKUP(Table16[[#This Row],[Company]],Table1[],18,FALSE)</f>
        <v>945</v>
      </c>
      <c r="H48" s="15">
        <f>Table16[[#Totals],[AISC 2020E Guidance]]</f>
        <v>964.62552301255232</v>
      </c>
      <c r="J48" t="e" vm="24">
        <v>#VALUE!</v>
      </c>
      <c r="K48" s="34" t="str">
        <f>VLOOKUP(Table17[[#This Row],[Company]],Table1[],2,FALSE)</f>
        <v>Small Cap Senior</v>
      </c>
      <c r="L48" s="34">
        <f>VLOOKUP(Table17[[#This Row],[Company]],Table1[],27,FALSE)</f>
        <v>352227750.00000006</v>
      </c>
    </row>
    <row r="49" spans="1:12" x14ac:dyDescent="0.25">
      <c r="A49" t="e" vm="25">
        <v>#VALUE!</v>
      </c>
      <c r="B49" s="34" t="str">
        <f>VLOOKUP($A49,Table1[],2,FALSE)</f>
        <v>Small Cap Senior</v>
      </c>
      <c r="C49" s="34">
        <f>VLOOKUP(Table15[[#This Row],[Company]],Table1[],13,FALSE)</f>
        <v>535000</v>
      </c>
      <c r="E49" t="e" vm="34">
        <v>#VALUE!</v>
      </c>
      <c r="F49" s="34" t="str">
        <f>VLOOKUP(Table16[[#This Row],[Company]],Table1[],2,FALSE)</f>
        <v>Mid Cap Senior</v>
      </c>
      <c r="G49" s="34">
        <f>VLOOKUP(Table16[[#This Row],[Company]],Table1[],18,FALSE)</f>
        <v>970</v>
      </c>
      <c r="H49" s="15">
        <f>Table16[[#Totals],[AISC 2020E Guidance]]</f>
        <v>964.62552301255232</v>
      </c>
      <c r="J49" t="e" vm="25">
        <v>#VALUE!</v>
      </c>
      <c r="K49" s="34" t="str">
        <f>VLOOKUP(Table17[[#This Row],[Company]],Table1[],2,FALSE)</f>
        <v>Small Cap Senior</v>
      </c>
      <c r="L49" s="34">
        <f>VLOOKUP(Table17[[#This Row],[Company]],Table1[],27,FALSE)</f>
        <v>356261850.00000006</v>
      </c>
    </row>
    <row r="50" spans="1:12" x14ac:dyDescent="0.25">
      <c r="A50" t="e" vm="28">
        <v>#VALUE!</v>
      </c>
      <c r="B50" s="34" t="str">
        <f>VLOOKUP($A50,Table1[],2,FALSE)</f>
        <v>Small Cap Senior</v>
      </c>
      <c r="C50" s="34">
        <f>VLOOKUP(Table15[[#This Row],[Company]],Table1[],13,FALSE)</f>
        <v>730000</v>
      </c>
      <c r="E50" t="e" vm="37">
        <v>#VALUE!</v>
      </c>
      <c r="F50" s="34" t="str">
        <f>VLOOKUP(Table16[[#This Row],[Company]],Table1[],2,FALSE)</f>
        <v>Large Cap Senior</v>
      </c>
      <c r="G50" s="34">
        <f>VLOOKUP(Table16[[#This Row],[Company]],Table1[],18,FALSE)</f>
        <v>975</v>
      </c>
      <c r="H50" s="15">
        <f>Table16[[#Totals],[AISC 2020E Guidance]]</f>
        <v>964.62552301255232</v>
      </c>
      <c r="J50" t="e" vm="28">
        <v>#VALUE!</v>
      </c>
      <c r="K50" s="34" t="str">
        <f>VLOOKUP(Table17[[#This Row],[Company]],Table1[],2,FALSE)</f>
        <v>Small Cap Senior</v>
      </c>
      <c r="L50" s="34">
        <f>VLOOKUP(Table17[[#This Row],[Company]],Table1[],27,FALSE)</f>
        <v>321864300.00000006</v>
      </c>
    </row>
    <row r="51" spans="1:12" x14ac:dyDescent="0.25">
      <c r="A51" t="e" vm="16">
        <v>#VALUE!</v>
      </c>
      <c r="B51" s="34" t="str">
        <f>VLOOKUP($A51,Table1[],2,FALSE)</f>
        <v>Small Cap Senior</v>
      </c>
      <c r="C51" s="34">
        <f>VLOOKUP(Table15[[#This Row],[Company]],Table1[],13,FALSE)</f>
        <v>280000</v>
      </c>
      <c r="E51" t="e" vm="19">
        <v>#VALUE!</v>
      </c>
      <c r="F51" s="34" t="str">
        <f>VLOOKUP(Table16[[#This Row],[Company]],Table1[],2,FALSE)</f>
        <v>Mid Cap Senior</v>
      </c>
      <c r="G51" s="34">
        <f>VLOOKUP(Table16[[#This Row],[Company]],Table1[],18,FALSE)</f>
        <v>985</v>
      </c>
      <c r="H51" s="15">
        <f>Table16[[#Totals],[AISC 2020E Guidance]]</f>
        <v>964.62552301255232</v>
      </c>
      <c r="J51" t="e" vm="16">
        <v>#VALUE!</v>
      </c>
      <c r="K51" s="34" t="str">
        <f>VLOOKUP(Table17[[#This Row],[Company]],Table1[],2,FALSE)</f>
        <v>Small Cap Senior</v>
      </c>
      <c r="L51" s="34">
        <f>VLOOKUP(Table17[[#This Row],[Company]],Table1[],27,FALSE)</f>
        <v>264574800.00000003</v>
      </c>
    </row>
    <row r="52" spans="1:12" x14ac:dyDescent="0.25">
      <c r="A52" t="e" vm="21">
        <v>#VALUE!</v>
      </c>
      <c r="B52" s="34" t="str">
        <f>VLOOKUP($A52,Table1[],2,FALSE)</f>
        <v>Small Cap Senior</v>
      </c>
      <c r="C52" s="34">
        <f>VLOOKUP(Table15[[#This Row],[Company]],Table1[],13,FALSE)</f>
        <v>425000</v>
      </c>
      <c r="E52" t="e" vm="30">
        <v>#VALUE!</v>
      </c>
      <c r="F52" s="34" t="str">
        <f>VLOOKUP(Table16[[#This Row],[Company]],Table1[],2,FALSE)</f>
        <v>Mid Cap Senior</v>
      </c>
      <c r="G52" s="34">
        <f>VLOOKUP(Table16[[#This Row],[Company]],Table1[],18,FALSE)</f>
        <v>999</v>
      </c>
      <c r="H52" s="15">
        <f>Table16[[#Totals],[AISC 2020E Guidance]]</f>
        <v>964.62552301255232</v>
      </c>
      <c r="J52" t="e" vm="21">
        <v>#VALUE!</v>
      </c>
      <c r="K52" s="34" t="str">
        <f>VLOOKUP(Table17[[#This Row],[Company]],Table1[],2,FALSE)</f>
        <v>Small Cap Senior</v>
      </c>
      <c r="L52" s="34">
        <f>VLOOKUP(Table17[[#This Row],[Company]],Table1[],27,FALSE)</f>
        <v>203536750.00000003</v>
      </c>
    </row>
    <row r="53" spans="1:12" x14ac:dyDescent="0.25">
      <c r="A53" t="e" vm="18">
        <v>#VALUE!</v>
      </c>
      <c r="B53" s="34" t="str">
        <f>VLOOKUP($A53,Table1[],2,FALSE)</f>
        <v>Small Cap Senior</v>
      </c>
      <c r="C53" s="34">
        <f>VLOOKUP(Table15[[#This Row],[Company]],Table1[],13,FALSE)</f>
        <v>335000</v>
      </c>
      <c r="E53" t="e" vm="33">
        <v>#VALUE!</v>
      </c>
      <c r="F53" s="34" t="str">
        <f>VLOOKUP(Table16[[#This Row],[Company]],Table1[],2,FALSE)</f>
        <v>Large Cap Senior</v>
      </c>
      <c r="G53" s="34">
        <f>VLOOKUP(Table16[[#This Row],[Company]],Table1[],18,FALSE)</f>
        <v>1000</v>
      </c>
      <c r="H53" s="15">
        <f>Table16[[#Totals],[AISC 2020E Guidance]]</f>
        <v>964.62552301255232</v>
      </c>
      <c r="J53" t="e" vm="18">
        <v>#VALUE!</v>
      </c>
      <c r="K53" s="34" t="str">
        <f>VLOOKUP(Table17[[#This Row],[Company]],Table1[],2,FALSE)</f>
        <v>Small Cap Senior</v>
      </c>
      <c r="L53" s="34">
        <f>VLOOKUP(Table17[[#This Row],[Company]],Table1[],27,FALSE)</f>
        <v>213867350.00000003</v>
      </c>
    </row>
    <row r="54" spans="1:12" x14ac:dyDescent="0.25">
      <c r="A54" t="e" vm="23">
        <v>#VALUE!</v>
      </c>
      <c r="B54" s="34" t="str">
        <f>VLOOKUP($A54,Table1[],2,FALSE)</f>
        <v>Small Cap Senior</v>
      </c>
      <c r="C54" s="34">
        <f>VLOOKUP(Table15[[#This Row],[Company]],Table1[],13,FALSE)</f>
        <v>450000</v>
      </c>
      <c r="E54" t="e" vm="27">
        <v>#VALUE!</v>
      </c>
      <c r="F54" s="34" t="str">
        <f>VLOOKUP(Table16[[#This Row],[Company]],Table1[],2,FALSE)</f>
        <v>Small Cap Junior</v>
      </c>
      <c r="G54" s="34">
        <f>VLOOKUP(Table16[[#This Row],[Company]],Table1[],18,FALSE)</f>
        <v>1000</v>
      </c>
      <c r="H54" s="15">
        <f>Table16[[#Totals],[AISC 2020E Guidance]]</f>
        <v>964.62552301255232</v>
      </c>
      <c r="J54" t="e" vm="23">
        <v>#VALUE!</v>
      </c>
      <c r="K54" s="34" t="str">
        <f>VLOOKUP(Table17[[#This Row],[Company]],Table1[],2,FALSE)</f>
        <v>Small Cap Senior</v>
      </c>
      <c r="L54" s="34">
        <f>VLOOKUP(Table17[[#This Row],[Company]],Table1[],27,FALSE)</f>
        <v>286159500.00000006</v>
      </c>
    </row>
    <row r="55" spans="1:12" x14ac:dyDescent="0.25">
      <c r="A55" t="e" vm="15">
        <v>#VALUE!</v>
      </c>
      <c r="B55" s="34" t="str">
        <f>VLOOKUP($A55,Table1[],2,FALSE)</f>
        <v>Small Cap Junior</v>
      </c>
      <c r="C55" s="34">
        <f>VLOOKUP(Table15[[#This Row],[Company]],Table1[],13,FALSE)</f>
        <v>274000</v>
      </c>
      <c r="E55" t="e" vm="20">
        <v>#VALUE!</v>
      </c>
      <c r="F55" s="34" t="str">
        <f>VLOOKUP(Table16[[#This Row],[Company]],Table1[],2,FALSE)</f>
        <v>Small Cap Junior</v>
      </c>
      <c r="G55" s="34">
        <f>VLOOKUP(Table16[[#This Row],[Company]],Table1[],18,FALSE)</f>
        <v>1037.5</v>
      </c>
      <c r="H55" s="15">
        <f>Table16[[#Totals],[AISC 2020E Guidance]]</f>
        <v>964.62552301255232</v>
      </c>
      <c r="J55" t="e" vm="15">
        <v>#VALUE!</v>
      </c>
      <c r="K55" s="34" t="str">
        <f>VLOOKUP(Table17[[#This Row],[Company]],Table1[],2,FALSE)</f>
        <v>Small Cap Junior</v>
      </c>
      <c r="L55" s="34">
        <f>VLOOKUP(Table17[[#This Row],[Company]],Table1[],27,FALSE)</f>
        <v>231779340.00000003</v>
      </c>
    </row>
    <row r="56" spans="1:12" x14ac:dyDescent="0.25">
      <c r="A56" t="e" vm="27">
        <v>#VALUE!</v>
      </c>
      <c r="B56" s="34" t="str">
        <f>VLOOKUP($A56,Table1[],2,FALSE)</f>
        <v>Small Cap Junior</v>
      </c>
      <c r="C56" s="34">
        <f>VLOOKUP(Table15[[#This Row],[Company]],Table1[],13,FALSE)</f>
        <v>700000</v>
      </c>
      <c r="E56" t="e" vm="22">
        <v>#VALUE!</v>
      </c>
      <c r="F56" s="34" t="str">
        <f>VLOOKUP(Table16[[#This Row],[Company]],Table1[],2,FALSE)</f>
        <v>Mid Cap Senior</v>
      </c>
      <c r="G56" s="34">
        <f>VLOOKUP(Table16[[#This Row],[Company]],Table1[],18,FALSE)</f>
        <v>1040</v>
      </c>
      <c r="H56" s="15">
        <f>Table16[[#Totals],[AISC 2020E Guidance]]</f>
        <v>964.62552301255232</v>
      </c>
      <c r="J56" t="e" vm="27">
        <v>#VALUE!</v>
      </c>
      <c r="K56" s="34" t="str">
        <f>VLOOKUP(Table17[[#This Row],[Company]],Table1[],2,FALSE)</f>
        <v>Small Cap Junior</v>
      </c>
      <c r="L56" s="34">
        <f>VLOOKUP(Table17[[#This Row],[Company]],Table1[],27,FALSE)</f>
        <v>396137000.00000006</v>
      </c>
    </row>
    <row r="57" spans="1:12" x14ac:dyDescent="0.25">
      <c r="A57" t="e" vm="9">
        <v>#VALUE!</v>
      </c>
      <c r="B57" s="34" t="str">
        <f>VLOOKUP($A57,Table1[],2,FALSE)</f>
        <v>Small Cap Junior</v>
      </c>
      <c r="C57" s="34">
        <f>VLOOKUP(Table15[[#This Row],[Company]],Table1[],13,FALSE)</f>
        <v>45000</v>
      </c>
      <c r="E57" t="e" vm="35">
        <v>#VALUE!</v>
      </c>
      <c r="F57" s="34" t="str">
        <f>VLOOKUP(Table16[[#This Row],[Company]],Table1[],2,FALSE)</f>
        <v>Mid Cap Senior</v>
      </c>
      <c r="G57" s="34">
        <f>VLOOKUP(Table16[[#This Row],[Company]],Table1[],18,FALSE)</f>
        <v>1070</v>
      </c>
      <c r="H57" s="15">
        <f>Table16[[#Totals],[AISC 2020E Guidance]]</f>
        <v>964.62552301255232</v>
      </c>
      <c r="J57" t="e" vm="9">
        <v>#VALUE!</v>
      </c>
      <c r="K57" s="34" t="str">
        <f>VLOOKUP(Table17[[#This Row],[Company]],Table1[],2,FALSE)</f>
        <v>Small Cap Junior</v>
      </c>
      <c r="L57" s="34">
        <f>VLOOKUP(Table17[[#This Row],[Company]],Table1[],27,FALSE)</f>
        <v>153450.0000000037</v>
      </c>
    </row>
    <row r="58" spans="1:12" x14ac:dyDescent="0.25">
      <c r="A58" t="e" vm="12">
        <v>#VALUE!</v>
      </c>
      <c r="B58" s="34" t="str">
        <f>VLOOKUP($A58,Table1[],2,FALSE)</f>
        <v>Small Cap Junior</v>
      </c>
      <c r="C58" s="34">
        <f>VLOOKUP(Table15[[#This Row],[Company]],Table1[],13,FALSE)</f>
        <v>115000</v>
      </c>
      <c r="E58" t="e" vm="21">
        <v>#VALUE!</v>
      </c>
      <c r="F58" s="34" t="str">
        <f>VLOOKUP(Table16[[#This Row],[Company]],Table1[],2,FALSE)</f>
        <v>Small Cap Senior</v>
      </c>
      <c r="G58" s="34">
        <f>VLOOKUP(Table16[[#This Row],[Company]],Table1[],18,FALSE)</f>
        <v>1087</v>
      </c>
      <c r="H58" s="15">
        <f>Table16[[#Totals],[AISC 2020E Guidance]]</f>
        <v>964.62552301255232</v>
      </c>
      <c r="J58" t="e" vm="12">
        <v>#VALUE!</v>
      </c>
      <c r="K58" s="34" t="str">
        <f>VLOOKUP(Table17[[#This Row],[Company]],Table1[],2,FALSE)</f>
        <v>Small Cap Junior</v>
      </c>
      <c r="L58" s="34">
        <f>VLOOKUP(Table17[[#This Row],[Company]],Table1[],27,FALSE)</f>
        <v>93829650.000000015</v>
      </c>
    </row>
    <row r="59" spans="1:12" x14ac:dyDescent="0.25">
      <c r="A59" t="e" vm="13">
        <v>#VALUE!</v>
      </c>
      <c r="B59" s="34" t="str">
        <f>VLOOKUP($A59,Table1[],2,FALSE)</f>
        <v>Small Cap Junior</v>
      </c>
      <c r="C59" s="34">
        <f>VLOOKUP(Table15[[#This Row],[Company]],Table1[],13,FALSE)</f>
        <v>172500</v>
      </c>
      <c r="E59" t="e" vm="13">
        <v>#VALUE!</v>
      </c>
      <c r="F59" s="34" t="str">
        <f>VLOOKUP(Table16[[#This Row],[Company]],Table1[],2,FALSE)</f>
        <v>Small Cap Junior</v>
      </c>
      <c r="G59" s="34">
        <f>VLOOKUP(Table16[[#This Row],[Company]],Table1[],18,FALSE)</f>
        <v>1100</v>
      </c>
      <c r="H59" s="15">
        <f>Table16[[#Totals],[AISC 2020E Guidance]]</f>
        <v>964.62552301255232</v>
      </c>
      <c r="J59" t="e" vm="13">
        <v>#VALUE!</v>
      </c>
      <c r="K59" s="34" t="str">
        <f>VLOOKUP(Table17[[#This Row],[Company]],Table1[],2,FALSE)</f>
        <v>Small Cap Junior</v>
      </c>
      <c r="L59" s="34">
        <f>VLOOKUP(Table17[[#This Row],[Company]],Table1[],27,FALSE)</f>
        <v>80369475.000000015</v>
      </c>
    </row>
    <row r="60" spans="1:12" x14ac:dyDescent="0.25">
      <c r="A60" t="e" vm="17">
        <v>#VALUE!</v>
      </c>
      <c r="B60" s="34" t="str">
        <f>VLOOKUP($A60,Table1[],2,FALSE)</f>
        <v>Small Cap Junior</v>
      </c>
      <c r="C60" s="34">
        <f>VLOOKUP(Table15[[#This Row],[Company]],Table1[],13,FALSE)</f>
        <v>326500</v>
      </c>
      <c r="E60" t="e" vm="11">
        <v>#VALUE!</v>
      </c>
      <c r="F60" s="34" t="str">
        <f>VLOOKUP(Table16[[#This Row],[Company]],Table1[],2,FALSE)</f>
        <v>Small Cap Junior</v>
      </c>
      <c r="G60" s="34">
        <f>VLOOKUP(Table16[[#This Row],[Company]],Table1[],18,FALSE)</f>
        <v>1100</v>
      </c>
      <c r="H60" s="15">
        <f>Table16[[#Totals],[AISC 2020E Guidance]]</f>
        <v>964.62552301255232</v>
      </c>
      <c r="J60" t="e" vm="17">
        <v>#VALUE!</v>
      </c>
      <c r="K60" s="34" t="str">
        <f>VLOOKUP(Table17[[#This Row],[Company]],Table1[],2,FALSE)</f>
        <v>Small Cap Junior</v>
      </c>
      <c r="L60" s="34">
        <f>VLOOKUP(Table17[[#This Row],[Company]],Table1[],27,FALSE)</f>
        <v>86819615.00000003</v>
      </c>
    </row>
    <row r="61" spans="1:12" x14ac:dyDescent="0.25">
      <c r="A61" t="e" vm="20">
        <v>#VALUE!</v>
      </c>
      <c r="B61" s="34" t="str">
        <f>VLOOKUP($A61,Table1[],2,FALSE)</f>
        <v>Small Cap Junior</v>
      </c>
      <c r="C61" s="34">
        <f>VLOOKUP(Table15[[#This Row],[Company]],Table1[],13,FALSE)</f>
        <v>350000</v>
      </c>
      <c r="E61" t="e" vm="28">
        <v>#VALUE!</v>
      </c>
      <c r="F61" s="34" t="str">
        <f>VLOOKUP(Table16[[#This Row],[Company]],Table1[],2,FALSE)</f>
        <v>Small Cap Senior</v>
      </c>
      <c r="G61" s="34">
        <f>VLOOKUP(Table16[[#This Row],[Company]],Table1[],18,FALSE)</f>
        <v>1125</v>
      </c>
      <c r="H61" s="15">
        <f>Table16[[#Totals],[AISC 2020E Guidance]]</f>
        <v>964.62552301255232</v>
      </c>
      <c r="J61" t="e" vm="20">
        <v>#VALUE!</v>
      </c>
      <c r="K61" s="34" t="str">
        <f>VLOOKUP(Table17[[#This Row],[Company]],Table1[],2,FALSE)</f>
        <v>Small Cap Junior</v>
      </c>
      <c r="L61" s="34">
        <f>VLOOKUP(Table17[[#This Row],[Company]],Table1[],27,FALSE)</f>
        <v>184943500.00000003</v>
      </c>
    </row>
    <row r="62" spans="1:12" x14ac:dyDescent="0.25">
      <c r="A62" t="e" vm="11">
        <v>#VALUE!</v>
      </c>
      <c r="B62" s="34" t="str">
        <f>VLOOKUP($A62,Table1[],2,FALSE)</f>
        <v>Small Cap Junior</v>
      </c>
      <c r="C62" s="34">
        <f>VLOOKUP(Table15[[#This Row],[Company]],Table1[],13,FALSE)</f>
        <v>113700</v>
      </c>
      <c r="E62" t="e" vm="17">
        <v>#VALUE!</v>
      </c>
      <c r="F62" s="34" t="str">
        <f>VLOOKUP(Table16[[#This Row],[Company]],Table1[],2,FALSE)</f>
        <v>Small Cap Junior</v>
      </c>
      <c r="G62" s="34">
        <f>VLOOKUP(Table16[[#This Row],[Company]],Table1[],18,FALSE)</f>
        <v>1300</v>
      </c>
      <c r="H62" s="15">
        <f>Table16[[#Totals],[AISC 2020E Guidance]]</f>
        <v>964.62552301255232</v>
      </c>
      <c r="J62" t="e" vm="11">
        <v>#VALUE!</v>
      </c>
      <c r="K62" s="34" t="str">
        <f>VLOOKUP(Table17[[#This Row],[Company]],Table1[],2,FALSE)</f>
        <v>Small Cap Junior</v>
      </c>
      <c r="L62" s="34">
        <f>VLOOKUP(Table17[[#This Row],[Company]],Table1[],27,FALSE)</f>
        <v>52973967.000000007</v>
      </c>
    </row>
    <row r="63" spans="1:12" x14ac:dyDescent="0.25">
      <c r="A63" t="e" vm="14">
        <v>#VALUE!</v>
      </c>
      <c r="B63" s="34" t="str">
        <f>VLOOKUP($A63,Table1[],2,FALSE)</f>
        <v>Small Cap Junior</v>
      </c>
      <c r="C63" s="34">
        <f>VLOOKUP(Table15[[#This Row],[Company]],Table1[],13,FALSE)</f>
        <v>210000</v>
      </c>
      <c r="E63" t="e" vm="10">
        <v>#VALUE!</v>
      </c>
      <c r="F63" s="34" t="str">
        <f>VLOOKUP(Table16[[#This Row],[Company]],Table1[],2,FALSE)</f>
        <v>Small Cap Junior</v>
      </c>
      <c r="G63" s="34">
        <f>VLOOKUP(Table16[[#This Row],[Company]],Table1[],18,FALSE)</f>
        <v>1315</v>
      </c>
      <c r="H63" s="15">
        <f>Table16[[#Totals],[AISC 2020E Guidance]]</f>
        <v>964.62552301255232</v>
      </c>
      <c r="J63" t="e" vm="14">
        <v>#VALUE!</v>
      </c>
      <c r="K63" s="34" t="str">
        <f>VLOOKUP(Table17[[#This Row],[Company]],Table1[],2,FALSE)</f>
        <v>Small Cap Junior</v>
      </c>
      <c r="L63" s="34">
        <f>VLOOKUP(Table17[[#This Row],[Company]],Table1[],27,FALSE)</f>
        <v>160841100.00000003</v>
      </c>
    </row>
    <row r="64" spans="1:12" x14ac:dyDescent="0.25">
      <c r="A64" t="e" vm="10">
        <v>#VALUE!</v>
      </c>
      <c r="B64" s="34" t="str">
        <f>VLOOKUP(Table15[[#This Row],[Company]],Table1[#All],2,FALSE)</f>
        <v>Small Cap Junior</v>
      </c>
      <c r="C64" s="34">
        <f>VLOOKUP(Table15[[#This Row],[Company]],Table1[],13,FALSE)</f>
        <v>95000</v>
      </c>
      <c r="E64" t="e" vm="9">
        <v>#VALUE!</v>
      </c>
      <c r="F64" s="34" t="str">
        <f>VLOOKUP(Table16[[#This Row],[Company]],Table1[],2,FALSE)</f>
        <v>Small Cap Junior</v>
      </c>
      <c r="G64" s="34">
        <f>VLOOKUP(Table16[[#This Row],[Company]],Table1[],18,FALSE)</f>
        <v>1562.5</v>
      </c>
      <c r="H64" s="15">
        <f>Table16[[#Totals],[AISC 2020E Guidance]]</f>
        <v>964.62552301255232</v>
      </c>
      <c r="J64" t="e" vm="10">
        <v>#VALUE!</v>
      </c>
      <c r="K64" s="34" t="str">
        <f>VLOOKUP(Table17[[#This Row],[Company]],Table1[],2,FALSE)</f>
        <v>Small Cap Junior</v>
      </c>
      <c r="L64" s="34">
        <f>VLOOKUP(Table17[[#This Row],[Company]],Table1[],27,FALSE)</f>
        <v>23836450.000000007</v>
      </c>
    </row>
    <row r="65" spans="1:8" x14ac:dyDescent="0.25">
      <c r="E65" s="81" t="s">
        <v>58</v>
      </c>
      <c r="F65" s="82"/>
      <c r="G65" s="80">
        <f>SUBTOTAL(101,Table16[AISC 2020E Guidance])</f>
        <v>964.62552301255232</v>
      </c>
      <c r="H65" s="80">
        <f>SUBTOTAL(109,Table16[AISC Average])</f>
        <v>27974.140167364028</v>
      </c>
    </row>
    <row r="67" spans="1:8" ht="15.75" thickBot="1" x14ac:dyDescent="0.3">
      <c r="A67" s="65" t="s">
        <v>75</v>
      </c>
      <c r="B67" s="65" t="s">
        <v>95</v>
      </c>
      <c r="C67" s="66" t="s">
        <v>164</v>
      </c>
      <c r="D67" s="66" t="s">
        <v>87</v>
      </c>
      <c r="E67" s="66" t="s">
        <v>88</v>
      </c>
      <c r="F67" s="66" t="s">
        <v>89</v>
      </c>
      <c r="G67" s="66" t="s">
        <v>79</v>
      </c>
      <c r="H67" s="66" t="s">
        <v>90</v>
      </c>
    </row>
    <row r="68" spans="1:8" x14ac:dyDescent="0.25">
      <c r="A68" t="e" vm="37">
        <v>#VALUE!</v>
      </c>
      <c r="B68" s="63" t="str">
        <f>VLOOKUP($A68,Table1[],2,FALSE)</f>
        <v>Large Cap Senior</v>
      </c>
      <c r="C68" s="73">
        <f>VLOOKUP($A68,Table1[],32,FALSE)</f>
        <v>0.31978319783197839</v>
      </c>
      <c r="D68" s="73">
        <f>VLOOKUP($A68,Table1[],33,FALSE)</f>
        <v>9.4E-2</v>
      </c>
      <c r="E68" s="73">
        <f>VLOOKUP($A68,Table1[],34,FALSE)</f>
        <v>0.1757</v>
      </c>
      <c r="F68" s="73">
        <f>VLOOKUP($A68,Table1[],35,FALSE)</f>
        <v>0.28799999999999998</v>
      </c>
      <c r="G68" s="69">
        <f>VLOOKUP($A68,Table1[],28,FALSE)</f>
        <v>12.766712570442197</v>
      </c>
      <c r="H68" s="69">
        <f>VLOOKUP($A68,Table1[],30,FALSE)</f>
        <v>3.82</v>
      </c>
    </row>
    <row r="69" spans="1:8" x14ac:dyDescent="0.25">
      <c r="A69" t="e" vm="32">
        <v>#VALUE!</v>
      </c>
      <c r="B69" s="64" t="str">
        <f>VLOOKUP($A69,Table1[],2,FALSE)</f>
        <v>Large Cap Senior</v>
      </c>
      <c r="C69" s="73">
        <f>VLOOKUP($A69,Table1[],32,FALSE)</f>
        <v>0.83999999999999986</v>
      </c>
      <c r="D69" s="73">
        <f>VLOOKUP($A69,Table1[],33,FALSE)</f>
        <v>0.26250000000000001</v>
      </c>
      <c r="E69" s="73">
        <f>VLOOKUP($A69,Table1[],34,FALSE)</f>
        <v>0.36370000000000002</v>
      </c>
      <c r="F69" s="73">
        <f>VLOOKUP($A69,Table1[],35,FALSE)</f>
        <v>0.40589999999999998</v>
      </c>
      <c r="G69" s="69">
        <f>VLOOKUP($A69,Table1[],28,FALSE)</f>
        <v>14.042986438096861</v>
      </c>
      <c r="H69" s="69">
        <f>VLOOKUP($A69,Table1[],30,FALSE)</f>
        <v>2.67</v>
      </c>
    </row>
    <row r="70" spans="1:8" x14ac:dyDescent="0.25">
      <c r="A70" t="e" vm="33">
        <v>#VALUE!</v>
      </c>
      <c r="B70" s="63" t="str">
        <f>VLOOKUP($A70,Table1[],2,FALSE)</f>
        <v>Large Cap Senior</v>
      </c>
      <c r="C70" s="73">
        <f>VLOOKUP($A70,Table1[],32,FALSE)</f>
        <v>0.11160714285714285</v>
      </c>
      <c r="D70" s="73">
        <f>VLOOKUP($A70,Table1[],33,FALSE)</f>
        <v>5.6899999999999999E-2</v>
      </c>
      <c r="E70" s="73">
        <f>VLOOKUP($A70,Table1[],34,FALSE)</f>
        <v>9.7900000000000001E-2</v>
      </c>
      <c r="F70" s="73">
        <f>VLOOKUP($A70,Table1[],35,FALSE)</f>
        <v>0.18790000000000001</v>
      </c>
      <c r="G70" s="69">
        <f>VLOOKUP($A70,Table1[],28,FALSE)</f>
        <v>16.248077138296431</v>
      </c>
      <c r="H70" s="69">
        <f>VLOOKUP($A70,Table1[],30,FALSE)</f>
        <v>2</v>
      </c>
    </row>
    <row r="71" spans="1:8" x14ac:dyDescent="0.25">
      <c r="A71" t="e" vm="36">
        <v>#VALUE!</v>
      </c>
      <c r="B71" s="64" t="str">
        <f>VLOOKUP($A71,Table1[],2,FALSE)</f>
        <v>Large Cap Senior</v>
      </c>
      <c r="C71" s="73">
        <f>VLOOKUP($A71,Table1[],32,FALSE)</f>
        <v>0.16129032258064535</v>
      </c>
      <c r="D71" s="73">
        <f>VLOOKUP($A71,Table1[],33,FALSE)</f>
        <v>0.11840000000000001</v>
      </c>
      <c r="E71" s="73">
        <f>VLOOKUP($A71,Table1[],34,FALSE)</f>
        <v>0.27350000000000002</v>
      </c>
      <c r="F71" s="73">
        <f>VLOOKUP($A71,Table1[],35,FALSE)</f>
        <v>0.40849999999999997</v>
      </c>
      <c r="G71" s="69">
        <f>VLOOKUP($A71,Table1[],28,FALSE)</f>
        <v>19.282823597622841</v>
      </c>
      <c r="H71" s="69">
        <f>VLOOKUP($A71,Table1[],30,FALSE)</f>
        <v>2.2599999999999998</v>
      </c>
    </row>
    <row r="72" spans="1:8" x14ac:dyDescent="0.25">
      <c r="A72" t="e" vm="26">
        <v>#VALUE!</v>
      </c>
      <c r="B72" s="63" t="str">
        <f>VLOOKUP($A72,Table1[],2,FALSE)</f>
        <v>Large Cap Senior</v>
      </c>
      <c r="C72" s="73">
        <f>VLOOKUP($A72,Table1[],32,FALSE)</f>
        <v>0.25051851851851853</v>
      </c>
      <c r="D72" s="73">
        <f>VLOOKUP($A72,Table1[],33,FALSE)</f>
        <v>6.7400000000000002E-2</v>
      </c>
      <c r="E72" s="73">
        <f>VLOOKUP($A72,Table1[],34,FALSE)</f>
        <v>7.0999999999999994E-2</v>
      </c>
      <c r="F72" s="73">
        <f>VLOOKUP($A72,Table1[],35,FALSE)</f>
        <v>0.40770000000000001</v>
      </c>
      <c r="G72" s="69">
        <f>VLOOKUP($A72,Table1[],28,FALSE)</f>
        <v>46.221990108486843</v>
      </c>
      <c r="H72" s="69">
        <f>VLOOKUP($A72,Table1[],30,FALSE)</f>
        <v>1.83</v>
      </c>
    </row>
    <row r="73" spans="1:8" x14ac:dyDescent="0.25">
      <c r="A73" t="e" vm="29">
        <v>#VALUE!</v>
      </c>
      <c r="B73" s="64" t="str">
        <f>VLOOKUP($A73,Table1[],2,FALSE)</f>
        <v>Mid Cap Senior</v>
      </c>
      <c r="C73" s="73">
        <f>VLOOKUP($A73,Table1[],32,FALSE)</f>
        <v>8.3333333333333412E-2</v>
      </c>
      <c r="D73" s="73">
        <f>VLOOKUP($A73,Table1[],33,FALSE)</f>
        <v>-3.3799999999999997E-2</v>
      </c>
      <c r="E73" s="73">
        <f>VLOOKUP($A73,Table1[],34,FALSE)</f>
        <v>-4.4400000000000002E-2</v>
      </c>
      <c r="F73" s="73">
        <f>VLOOKUP($A73,Table1[],35,FALSE)</f>
        <v>-6.8000000000000005E-2</v>
      </c>
      <c r="G73" s="69">
        <f>VLOOKUP($A73,Table1[],28,FALSE)</f>
        <v>4.9266114747484</v>
      </c>
      <c r="H73" s="69">
        <f>VLOOKUP($A73,Table1[],30,FALSE)</f>
        <v>-0.32</v>
      </c>
    </row>
    <row r="74" spans="1:8" x14ac:dyDescent="0.25">
      <c r="A74" t="e" vm="35">
        <v>#VALUE!</v>
      </c>
      <c r="B74" s="63" t="str">
        <f>VLOOKUP($A74,Table1[],2,FALSE)</f>
        <v>Mid Cap Senior</v>
      </c>
      <c r="C74" s="73">
        <f>VLOOKUP($A74,Table1[],32,FALSE)</f>
        <v>4.129793510324474E-2</v>
      </c>
      <c r="D74" s="73">
        <f>VLOOKUP($A74,Table1[],33,FALSE)</f>
        <v>-1E-3</v>
      </c>
      <c r="E74" s="73">
        <f>VLOOKUP($A74,Table1[],34,FALSE)</f>
        <v>-2.5999999999999999E-3</v>
      </c>
      <c r="F74" s="73">
        <f>VLOOKUP($A74,Table1[],35,FALSE)</f>
        <v>-2E-3</v>
      </c>
      <c r="G74" s="69">
        <f>VLOOKUP($A74,Table1[],28,FALSE)</f>
        <v>5.5346834746017688</v>
      </c>
      <c r="H74" s="69">
        <f>VLOOKUP($A74,Table1[],30,FALSE)</f>
        <v>-0.03</v>
      </c>
    </row>
    <row r="75" spans="1:8" x14ac:dyDescent="0.25">
      <c r="A75" t="e" vm="34">
        <v>#VALUE!</v>
      </c>
      <c r="B75" s="64" t="str">
        <f>VLOOKUP($A75,Table1[],2,FALSE)</f>
        <v>Mid Cap Senior</v>
      </c>
      <c r="C75" s="73">
        <f>VLOOKUP($A75,Table1[],32,FALSE)</f>
        <v>0.20000000000000018</v>
      </c>
      <c r="D75" s="73">
        <f>VLOOKUP($A75,Table1[],33,FALSE)</f>
        <v>8.3900000000000002E-2</v>
      </c>
      <c r="E75" s="73">
        <f>VLOOKUP($A75,Table1[],34,FALSE)</f>
        <v>0.14630000000000001</v>
      </c>
      <c r="F75" s="73">
        <f>VLOOKUP($A75,Table1[],35,FALSE)</f>
        <v>0.20549999999999999</v>
      </c>
      <c r="G75" s="69">
        <f>VLOOKUP($A75,Table1[],28,FALSE)</f>
        <v>7.5940648196315976</v>
      </c>
      <c r="H75" s="69">
        <f>VLOOKUP($A75,Table1[],30,FALSE)</f>
        <v>0.56999999999999995</v>
      </c>
    </row>
    <row r="76" spans="1:8" x14ac:dyDescent="0.25">
      <c r="A76" t="e" vm="31">
        <v>#VALUE!</v>
      </c>
      <c r="B76" s="63" t="str">
        <f>VLOOKUP($A76,Table1[],2,FALSE)</f>
        <v>Mid Cap Senior</v>
      </c>
      <c r="C76" s="73">
        <f>VLOOKUP($A76,Table1[],32,FALSE)</f>
        <v>0.81249999999999989</v>
      </c>
      <c r="D76" s="73">
        <f>VLOOKUP($A76,Table1[],33,FALSE)</f>
        <v>0.112</v>
      </c>
      <c r="E76" s="73">
        <f>VLOOKUP($A76,Table1[],34,FALSE)</f>
        <v>0.16289999999999999</v>
      </c>
      <c r="F76" s="73">
        <f>VLOOKUP($A76,Table1[],35,FALSE)</f>
        <v>0.25390000000000001</v>
      </c>
      <c r="G76" s="69">
        <f>VLOOKUP($A76,Table1[],28,FALSE)</f>
        <v>8.2974408795275281</v>
      </c>
      <c r="H76" s="69">
        <f>VLOOKUP($A76,Table1[],30,FALSE)</f>
        <v>0.28999999999999998</v>
      </c>
    </row>
    <row r="77" spans="1:8" x14ac:dyDescent="0.25">
      <c r="A77" t="e" vm="30">
        <v>#VALUE!</v>
      </c>
      <c r="B77" s="64" t="str">
        <f>VLOOKUP($A77,Table1[],2,FALSE)</f>
        <v>Mid Cap Senior</v>
      </c>
      <c r="C77" s="73">
        <f>VLOOKUP($A77,Table1[],32,FALSE)</f>
        <v>-0.10555555555555553</v>
      </c>
      <c r="D77" s="73">
        <f>VLOOKUP($A77,Table1[],33,FALSE)</f>
        <v>2.98E-2</v>
      </c>
      <c r="E77" s="73">
        <f>VLOOKUP($A77,Table1[],34,FALSE)</f>
        <v>5.5199999999999999E-2</v>
      </c>
      <c r="F77" s="73">
        <f>VLOOKUP($A77,Table1[],35,FALSE)</f>
        <v>0.1399</v>
      </c>
      <c r="G77" s="69">
        <f>VLOOKUP($A77,Table1[],28,FALSE)</f>
        <v>9.7484395738086782</v>
      </c>
      <c r="H77" s="69">
        <f>VLOOKUP($A77,Table1[],30,FALSE)</f>
        <v>0.24</v>
      </c>
    </row>
    <row r="78" spans="1:8" x14ac:dyDescent="0.25">
      <c r="A78" t="e" vm="19">
        <v>#VALUE!</v>
      </c>
      <c r="B78" s="63" t="str">
        <f>VLOOKUP($A78,Table1[],2,FALSE)</f>
        <v>Mid Cap Senior</v>
      </c>
      <c r="C78" s="73">
        <f>VLOOKUP($A78,Table1[],32,FALSE)</f>
        <v>1.7247191011235956</v>
      </c>
      <c r="D78" s="73">
        <f>VLOOKUP($A78,Table1[],33,FALSE)</f>
        <v>2.5700000000000001E-2</v>
      </c>
      <c r="E78" s="73">
        <f>VLOOKUP($A78,Table1[],34,FALSE)</f>
        <v>4.41E-2</v>
      </c>
      <c r="F78" s="73">
        <f>VLOOKUP($A78,Table1[],35,FALSE)</f>
        <v>8.4400000000000003E-2</v>
      </c>
      <c r="G78" s="69">
        <f>VLOOKUP($A78,Table1[],28,FALSE)</f>
        <v>10.175130024631518</v>
      </c>
      <c r="H78" s="69">
        <f>VLOOKUP($A78,Table1[],30,FALSE)</f>
        <v>0.22</v>
      </c>
    </row>
    <row r="79" spans="1:8" x14ac:dyDescent="0.25">
      <c r="A79" t="e" vm="22">
        <v>#VALUE!</v>
      </c>
      <c r="B79" s="64" t="str">
        <f>VLOOKUP($A79,Table1[],2,FALSE)</f>
        <v>Mid Cap Senior</v>
      </c>
      <c r="C79" s="73">
        <f>VLOOKUP($A79,Table1[],32,FALSE)</f>
        <v>0.25847457627118658</v>
      </c>
      <c r="D79" s="73">
        <f>VLOOKUP($A79,Table1[],33,FALSE)</f>
        <v>2.8899999999999999E-2</v>
      </c>
      <c r="E79" s="73">
        <f>VLOOKUP($A79,Table1[],34,FALSE)</f>
        <v>3.6299999999999999E-2</v>
      </c>
      <c r="F79" s="73">
        <f>VLOOKUP($A79,Table1[],35,FALSE)</f>
        <v>0.14069999999999999</v>
      </c>
      <c r="G79" s="69">
        <f>VLOOKUP($A79,Table1[],28,FALSE)</f>
        <v>16.025107042923349</v>
      </c>
      <c r="H79" s="69">
        <f>VLOOKUP($A79,Table1[],30,FALSE)</f>
        <v>0.25</v>
      </c>
    </row>
    <row r="80" spans="1:8" x14ac:dyDescent="0.25">
      <c r="A80" t="e" vm="24">
        <v>#VALUE!</v>
      </c>
      <c r="B80" s="63" t="str">
        <f>VLOOKUP($A80,Table1[],2,FALSE)</f>
        <v>Small Cap Senior</v>
      </c>
      <c r="C80" s="73">
        <f>VLOOKUP($A80,Table1[],32,FALSE)</f>
        <v>-5.1048167706833139E-2</v>
      </c>
      <c r="D80" s="73">
        <f>VLOOKUP($A80,Table1[],33,FALSE)</f>
        <v>0.04</v>
      </c>
      <c r="E80" s="73">
        <f>VLOOKUP($A80,Table1[],34,FALSE)</f>
        <v>4.19E-2</v>
      </c>
      <c r="F80" s="73">
        <f>VLOOKUP($A80,Table1[],35,FALSE)</f>
        <v>8.9800000000000005E-2</v>
      </c>
      <c r="G80" s="69">
        <f>VLOOKUP($A80,Table1[],28,FALSE)</f>
        <v>4.4970278463295399</v>
      </c>
      <c r="H80" s="69">
        <f>VLOOKUP($A80,Table1[],30,FALSE)</f>
        <v>7.0000000000000007E-2</v>
      </c>
    </row>
    <row r="81" spans="1:8" x14ac:dyDescent="0.25">
      <c r="A81" t="e" vm="25">
        <v>#VALUE!</v>
      </c>
      <c r="B81" s="64" t="str">
        <f>VLOOKUP($A81,Table1[],2,FALSE)</f>
        <v>Small Cap Senior</v>
      </c>
      <c r="C81" s="73">
        <f>VLOOKUP($A81,Table1[],32,FALSE)</f>
        <v>0.58056265984654731</v>
      </c>
      <c r="D81" s="73">
        <f>VLOOKUP($A81,Table1[],33,FALSE)</f>
        <v>1.7399999999999999E-2</v>
      </c>
      <c r="E81" s="73">
        <f>VLOOKUP($A81,Table1[],34,FALSE)</f>
        <v>2.41E-2</v>
      </c>
      <c r="F81" s="73">
        <f>VLOOKUP($A81,Table1[],35,FALSE)</f>
        <v>0.13039999999999999</v>
      </c>
      <c r="G81" s="69">
        <f>VLOOKUP($A81,Table1[],28,FALSE)</f>
        <v>5.5875390530869353</v>
      </c>
      <c r="H81" s="69">
        <f>VLOOKUP($A81,Table1[],30,FALSE)</f>
        <v>0.51</v>
      </c>
    </row>
    <row r="82" spans="1:8" x14ac:dyDescent="0.25">
      <c r="A82" t="e" vm="28">
        <v>#VALUE!</v>
      </c>
      <c r="B82" s="63" t="str">
        <f>VLOOKUP($A82,Table1[],2,FALSE)</f>
        <v>Small Cap Senior</v>
      </c>
      <c r="C82" s="73">
        <f>VLOOKUP($A82,Table1[],32,FALSE)</f>
        <v>-1.8348623853211024E-2</v>
      </c>
      <c r="D82" s="73">
        <f>VLOOKUP($A82,Table1[],33,FALSE)</f>
        <v>-0.1055</v>
      </c>
      <c r="E82" s="73">
        <f>VLOOKUP($A82,Table1[],34,FALSE)</f>
        <v>-0.16250000000000001</v>
      </c>
      <c r="F82" s="73">
        <f>VLOOKUP($A82,Table1[],35,FALSE)</f>
        <v>-0.38729999999999998</v>
      </c>
      <c r="G82" s="69">
        <f>VLOOKUP($A82,Table1[],28,FALSE)</f>
        <v>6.2458868535590915</v>
      </c>
      <c r="H82" s="69">
        <f>VLOOKUP($A82,Table1[],30,FALSE)</f>
        <v>-0.88</v>
      </c>
    </row>
    <row r="83" spans="1:8" x14ac:dyDescent="0.25">
      <c r="A83" t="e" vm="16">
        <v>#VALUE!</v>
      </c>
      <c r="B83" s="64" t="str">
        <f>VLOOKUP($A83,Table1[],2,FALSE)</f>
        <v>Small Cap Senior</v>
      </c>
      <c r="C83" s="73">
        <f>VLOOKUP($A83,Table1[],32,FALSE)</f>
        <v>0</v>
      </c>
      <c r="D83" s="73">
        <f>VLOOKUP($A83,Table1[],33,FALSE)</f>
        <v>0</v>
      </c>
      <c r="E83" s="73">
        <f>VLOOKUP($A83,Table1[],34,FALSE)</f>
        <v>0</v>
      </c>
      <c r="F83" s="73">
        <f>VLOOKUP($A83,Table1[],35,FALSE)</f>
        <v>0</v>
      </c>
      <c r="G83" s="69">
        <f>VLOOKUP($A83,Table1[],28,FALSE)</f>
        <v>8.0816086792846473</v>
      </c>
      <c r="H83" s="69">
        <f>VLOOKUP($A83,Table1[],30,FALSE)</f>
        <v>0</v>
      </c>
    </row>
    <row r="84" spans="1:8" x14ac:dyDescent="0.25">
      <c r="A84" t="e" vm="21">
        <v>#VALUE!</v>
      </c>
      <c r="B84" s="63" t="str">
        <f>VLOOKUP($A84,Table1[],2,FALSE)</f>
        <v>Small Cap Senior</v>
      </c>
      <c r="C84" s="73">
        <f>VLOOKUP($A84,Table1[],32,FALSE)</f>
        <v>0.35225171023018481</v>
      </c>
      <c r="D84" s="73">
        <f>VLOOKUP($A84,Table1[],33,FALSE)</f>
        <v>3.5000000000000003E-2</v>
      </c>
      <c r="E84" s="73">
        <f>VLOOKUP($A84,Table1[],34,FALSE)</f>
        <v>5.4399999999999997E-2</v>
      </c>
      <c r="F84" s="73">
        <f>VLOOKUP($A84,Table1[],35,FALSE)</f>
        <v>9.4399999999999998E-2</v>
      </c>
      <c r="G84" s="69">
        <f>VLOOKUP($A84,Table1[],28,FALSE)</f>
        <v>9.4942362988502058</v>
      </c>
      <c r="H84" s="69">
        <f>VLOOKUP($A84,Table1[],30,FALSE)</f>
        <v>0.47</v>
      </c>
    </row>
    <row r="85" spans="1:8" x14ac:dyDescent="0.25">
      <c r="A85" t="e" vm="18">
        <v>#VALUE!</v>
      </c>
      <c r="B85" s="64" t="str">
        <f>VLOOKUP($A85,Table1[],2,FALSE)</f>
        <v>Small Cap Senior</v>
      </c>
      <c r="C85" s="73">
        <f>VLOOKUP($A85,Table1[],32,FALSE)</f>
        <v>0.83694351133248379</v>
      </c>
      <c r="D85" s="73">
        <f>VLOOKUP($A85,Table1[],33,FALSE)</f>
        <v>4.6800000000000001E-2</v>
      </c>
      <c r="E85" s="73">
        <f>VLOOKUP($A85,Table1[],34,FALSE)</f>
        <v>6.6100000000000006E-2</v>
      </c>
      <c r="F85" s="73">
        <f>VLOOKUP($A85,Table1[],35,FALSE)</f>
        <v>0.1055</v>
      </c>
      <c r="G85" s="69">
        <f>VLOOKUP($A85,Table1[],28,FALSE)</f>
        <v>5.5163960277246602</v>
      </c>
      <c r="H85" s="69">
        <f>VLOOKUP($A85,Table1[],30,FALSE)</f>
        <v>0.15</v>
      </c>
    </row>
    <row r="86" spans="1:8" x14ac:dyDescent="0.25">
      <c r="A86" t="e" vm="23">
        <v>#VALUE!</v>
      </c>
      <c r="B86" s="63" t="str">
        <f>VLOOKUP($A86,Table1[],2,FALSE)</f>
        <v>Small Cap Senior</v>
      </c>
      <c r="C86" s="73">
        <f>VLOOKUP($A86,Table1[],32,FALSE)</f>
        <v>1.0349317243569387</v>
      </c>
      <c r="D86" s="73">
        <f>VLOOKUP($A86,Table1[],33,FALSE)</f>
        <v>5.6899999999999999E-2</v>
      </c>
      <c r="E86" s="73">
        <f>VLOOKUP($A86,Table1[],34,FALSE)</f>
        <v>8.9300000000000004E-2</v>
      </c>
      <c r="F86" s="73">
        <f>VLOOKUP($A86,Table1[],35,FALSE)</f>
        <v>0.1111</v>
      </c>
      <c r="G86" s="69">
        <f>VLOOKUP($A86,Table1[],28,FALSE)</f>
        <v>4.5133955014598488</v>
      </c>
      <c r="H86" s="69">
        <f>VLOOKUP($A86,Table1[],30,FALSE)</f>
        <v>0.84</v>
      </c>
    </row>
    <row r="87" spans="1:8" x14ac:dyDescent="0.25">
      <c r="A87" t="e" vm="15">
        <v>#VALUE!</v>
      </c>
      <c r="B87" s="64" t="str">
        <f>VLOOKUP($A87,Table1[],2,FALSE)</f>
        <v>Small Cap Junior</v>
      </c>
      <c r="C87" s="73">
        <f>VLOOKUP($A87,Table1[],32,FALSE)</f>
        <v>0.34927904397295073</v>
      </c>
      <c r="D87" s="73">
        <f>VLOOKUP($A87,Table1[],33,FALSE)</f>
        <v>2.29E-2</v>
      </c>
      <c r="E87" s="73">
        <f>VLOOKUP($A87,Table1[],34,FALSE)</f>
        <v>3.1199999999999999E-2</v>
      </c>
      <c r="F87" s="73">
        <f>VLOOKUP($A87,Table1[],35,FALSE)</f>
        <v>5.6000000000000001E-2</v>
      </c>
      <c r="G87" s="69">
        <f>VLOOKUP($A87,Table1[],28,FALSE)</f>
        <v>4.7669779368601182</v>
      </c>
      <c r="H87" s="69">
        <f>VLOOKUP($A87,Table1[],30,FALSE)</f>
        <v>0.21</v>
      </c>
    </row>
    <row r="88" spans="1:8" x14ac:dyDescent="0.25">
      <c r="A88" t="e" vm="27">
        <v>#VALUE!</v>
      </c>
      <c r="B88" s="63" t="str">
        <f>VLOOKUP($A88,Table1[],2,FALSE)</f>
        <v>Small Cap Junior</v>
      </c>
      <c r="C88" s="73">
        <f>VLOOKUP($A88,Table1[],32,FALSE)</f>
        <v>17.779800000000002</v>
      </c>
      <c r="D88" s="73">
        <f>VLOOKUP($A88,Table1[],33,FALSE)</f>
        <v>-3.0800000000000001E-2</v>
      </c>
      <c r="E88" s="73">
        <f>VLOOKUP($A88,Table1[],34,FALSE)</f>
        <v>-5.2200000000000003E-2</v>
      </c>
      <c r="F88" s="73">
        <f>VLOOKUP($A88,Table1[],35,FALSE)</f>
        <v>-0.10199999999999999</v>
      </c>
      <c r="G88" s="69">
        <f>VLOOKUP($A88,Table1[],28,FALSE)</f>
        <v>5.6962010617538876</v>
      </c>
      <c r="H88" s="69">
        <f>VLOOKUP($A88,Table1[],30,FALSE)</f>
        <v>-0.55000000000000004</v>
      </c>
    </row>
    <row r="89" spans="1:8" x14ac:dyDescent="0.25">
      <c r="A89" t="e" vm="9">
        <v>#VALUE!</v>
      </c>
      <c r="B89" s="64" t="str">
        <f>VLOOKUP($A89,Table1[],2,FALSE)</f>
        <v>Small Cap Junior</v>
      </c>
      <c r="C89" s="73">
        <f>VLOOKUP($A89,Table1[],32,FALSE)</f>
        <v>0</v>
      </c>
      <c r="D89" s="73">
        <f>VLOOKUP($A89,Table1[],33,FALSE)</f>
        <v>-0.49459999999999998</v>
      </c>
      <c r="E89" s="73">
        <f>VLOOKUP($A89,Table1[],34,FALSE)</f>
        <v>-88.6327</v>
      </c>
      <c r="F89" s="73">
        <f>VLOOKUP($A89,Table1[],35,FALSE)</f>
        <v>-1.2377</v>
      </c>
      <c r="G89" s="69">
        <f>VLOOKUP($A89,Table1[],28,FALSE)</f>
        <v>634.17289019222972</v>
      </c>
      <c r="H89" s="69">
        <f>VLOOKUP($A89,Table1[],30,FALSE)</f>
        <v>-0.1</v>
      </c>
    </row>
    <row r="90" spans="1:8" x14ac:dyDescent="0.25">
      <c r="A90" t="e" vm="12">
        <v>#VALUE!</v>
      </c>
      <c r="B90" s="63" t="str">
        <f>VLOOKUP($A90,Table1[],2,FALSE)</f>
        <v>Small Cap Junior</v>
      </c>
      <c r="C90" s="73">
        <f>VLOOKUP($A90,Table1[],32,FALSE)</f>
        <v>0.92452830188679247</v>
      </c>
      <c r="D90" s="73">
        <f>VLOOKUP($A90,Table1[],33,FALSE)</f>
        <v>0.2681</v>
      </c>
      <c r="E90" s="73">
        <f>VLOOKUP($A90,Table1[],34,FALSE)</f>
        <v>0.33639999999999998</v>
      </c>
      <c r="F90" s="73">
        <f>VLOOKUP($A90,Table1[],35,FALSE)</f>
        <v>0.32</v>
      </c>
      <c r="G90" s="69">
        <f>VLOOKUP($A90,Table1[],28,FALSE)</f>
        <v>9.1401385382978617</v>
      </c>
      <c r="H90" s="69">
        <f>VLOOKUP($A90,Table1[],30,FALSE)</f>
        <v>0.16</v>
      </c>
    </row>
    <row r="91" spans="1:8" x14ac:dyDescent="0.25">
      <c r="A91" t="e" vm="13">
        <v>#VALUE!</v>
      </c>
      <c r="B91" s="64" t="str">
        <f>VLOOKUP($A91,Table1[],2,FALSE)</f>
        <v>Small Cap Junior</v>
      </c>
      <c r="C91" s="73">
        <f>VLOOKUP($A91,Table1[],32,FALSE)</f>
        <v>0.73440047428486732</v>
      </c>
      <c r="D91" s="73">
        <f>VLOOKUP($A91,Table1[],33,FALSE)</f>
        <v>-9.5699999999999993E-2</v>
      </c>
      <c r="E91" s="73">
        <f>VLOOKUP($A91,Table1[],34,FALSE)</f>
        <v>-0.12130000000000001</v>
      </c>
      <c r="F91" s="73">
        <f>VLOOKUP($A91,Table1[],35,FALSE)</f>
        <v>-0.51060000000000005</v>
      </c>
      <c r="G91" s="69">
        <f>VLOOKUP($A91,Table1[],28,FALSE)</f>
        <v>4.7084617636235642</v>
      </c>
      <c r="H91" s="69">
        <f>VLOOKUP($A91,Table1[],30,FALSE)</f>
        <v>-0.17</v>
      </c>
    </row>
    <row r="92" spans="1:8" x14ac:dyDescent="0.25">
      <c r="A92" t="e" vm="17">
        <v>#VALUE!</v>
      </c>
      <c r="B92" s="63" t="str">
        <f>VLOOKUP($A92,Table1[],2,FALSE)</f>
        <v>Small Cap Junior</v>
      </c>
      <c r="C92" s="73">
        <f>VLOOKUP($A92,Table1[],32,FALSE)</f>
        <v>0.62233084641111402</v>
      </c>
      <c r="D92" s="73">
        <f>VLOOKUP($A92,Table1[],33,FALSE)</f>
        <v>-3.4000000000000002E-2</v>
      </c>
      <c r="E92" s="73">
        <f>VLOOKUP($A92,Table1[],34,FALSE)</f>
        <v>-7.6499999999999999E-2</v>
      </c>
      <c r="F92" s="73">
        <f>VLOOKUP($A92,Table1[],35,FALSE)</f>
        <v>-0.1166</v>
      </c>
      <c r="G92" s="69">
        <f>VLOOKUP($A92,Table1[],28,FALSE)</f>
        <v>7.7578632432313803</v>
      </c>
      <c r="H92" s="69">
        <f>VLOOKUP($A92,Table1[],30,FALSE)</f>
        <v>-0.12</v>
      </c>
    </row>
    <row r="93" spans="1:8" x14ac:dyDescent="0.25">
      <c r="A93" t="e" vm="20">
        <v>#VALUE!</v>
      </c>
      <c r="B93" s="64" t="str">
        <f>VLOOKUP($A93,Table1[],2,FALSE)</f>
        <v>Small Cap Junior</v>
      </c>
      <c r="C93" s="73">
        <f>VLOOKUP($A93,Table1[],32,FALSE)</f>
        <v>0.21191031267142074</v>
      </c>
      <c r="D93" s="73">
        <f>VLOOKUP($A93,Table1[],33,FALSE)</f>
        <v>-3.1600000000000003E-2</v>
      </c>
      <c r="E93" s="73">
        <f>VLOOKUP($A93,Table1[],34,FALSE)</f>
        <v>-5.91E-2</v>
      </c>
      <c r="F93" s="73">
        <f>VLOOKUP($A93,Table1[],35,FALSE)</f>
        <v>-9.4500000000000001E-2</v>
      </c>
      <c r="G93" s="69">
        <f>VLOOKUP($A93,Table1[],28,FALSE)</f>
        <v>8.5838864301800264</v>
      </c>
      <c r="H93" s="69">
        <f>VLOOKUP($A93,Table1[],30,FALSE)</f>
        <v>-0.31</v>
      </c>
    </row>
    <row r="94" spans="1:8" x14ac:dyDescent="0.25">
      <c r="A94" t="e" vm="11">
        <v>#VALUE!</v>
      </c>
      <c r="B94" s="63" t="str">
        <f>VLOOKUP($A94,Table1[],2,FALSE)</f>
        <v>Small Cap Junior</v>
      </c>
      <c r="C94" s="73">
        <f>VLOOKUP($A94,Table1[],32,FALSE)</f>
        <v>0</v>
      </c>
      <c r="D94" s="73">
        <f>VLOOKUP($A94,Table1[],33,FALSE)</f>
        <v>0</v>
      </c>
      <c r="E94" s="73">
        <f>VLOOKUP($A94,Table1[],34,FALSE)</f>
        <v>0</v>
      </c>
      <c r="F94" s="73">
        <f>VLOOKUP($A94,Table1[],35,FALSE)</f>
        <v>0</v>
      </c>
      <c r="G94" s="69">
        <f>VLOOKUP($A94,Table1[],28,FALSE)</f>
        <v>2.3943572132326807</v>
      </c>
      <c r="H94" s="69">
        <f>VLOOKUP($A94,Table1[],30,FALSE)</f>
        <v>0</v>
      </c>
    </row>
    <row r="95" spans="1:8" x14ac:dyDescent="0.25">
      <c r="A95" t="e" vm="14">
        <v>#VALUE!</v>
      </c>
      <c r="B95" s="67" t="str">
        <f>VLOOKUP($A95,Table1[],2,FALSE)</f>
        <v>Small Cap Junior</v>
      </c>
      <c r="C95" s="74">
        <f>VLOOKUP($A95,Table1[],32,FALSE)</f>
        <v>0</v>
      </c>
      <c r="D95" s="74">
        <f>VLOOKUP($A95,Table1[],33,FALSE)</f>
        <v>0</v>
      </c>
      <c r="E95" s="74">
        <f>VLOOKUP($A95,Table1[],34,FALSE)</f>
        <v>0</v>
      </c>
      <c r="F95" s="74">
        <f>VLOOKUP($A95,Table1[],35,FALSE)</f>
        <v>0</v>
      </c>
      <c r="G95" s="70">
        <f>VLOOKUP($A95,Table1[],28,FALSE)</f>
        <v>2.9217898907679687</v>
      </c>
      <c r="H95" s="70">
        <f>VLOOKUP($A95,Table1[],30,FALSE)</f>
        <v>0</v>
      </c>
    </row>
    <row r="96" spans="1:8" x14ac:dyDescent="0.25">
      <c r="A96" t="e" vm="10">
        <v>#VALUE!</v>
      </c>
      <c r="B96" s="63" t="str">
        <f>VLOOKUP($A96,Table1[],2,FALSE)</f>
        <v>Small Cap Junior</v>
      </c>
      <c r="C96" s="73">
        <f>VLOOKUP($A96,Table1[],32,FALSE)</f>
        <v>0.70695398709140111</v>
      </c>
      <c r="D96" s="73">
        <f>VLOOKUP($A96,Table1[],33,FALSE)</f>
        <v>0.1653</v>
      </c>
      <c r="E96" s="73">
        <f>VLOOKUP($A96,Table1[],34,FALSE)</f>
        <v>0.22520000000000001</v>
      </c>
      <c r="F96" s="73">
        <f>VLOOKUP($A96,Table1[],35,FALSE)</f>
        <v>0.24970000000000001</v>
      </c>
      <c r="G96" s="69">
        <f>VLOOKUP($A96,Table1[],28,FALSE)</f>
        <v>56.559848467368241</v>
      </c>
      <c r="H96" s="69">
        <f>VLOOKUP($A96,Table1[],30,FALSE)</f>
        <v>0.3</v>
      </c>
    </row>
    <row r="98" spans="1:7" ht="15.75" thickBot="1" x14ac:dyDescent="0.3">
      <c r="A98" s="65" t="s">
        <v>75</v>
      </c>
      <c r="B98" s="65" t="s">
        <v>95</v>
      </c>
      <c r="C98" s="66" t="s">
        <v>164</v>
      </c>
      <c r="E98" s="65" t="s">
        <v>75</v>
      </c>
      <c r="F98" s="65" t="s">
        <v>95</v>
      </c>
      <c r="G98" s="66" t="s">
        <v>88</v>
      </c>
    </row>
    <row r="99" spans="1:7" x14ac:dyDescent="0.25">
      <c r="A99" t="e" vm="37">
        <v>#VALUE!</v>
      </c>
      <c r="B99" s="63" t="str">
        <f>VLOOKUP($A99,Table1[],2,FALSE)</f>
        <v>Large Cap Senior</v>
      </c>
      <c r="C99" s="73">
        <f>VLOOKUP(Table19[[#This Row],[Company]],Table1[],32,FALSE)</f>
        <v>0.31978319783197839</v>
      </c>
      <c r="E99" t="e" vm="37">
        <v>#VALUE!</v>
      </c>
      <c r="F99" s="63" t="str">
        <f>VLOOKUP($A99,Table1[],2,FALSE)</f>
        <v>Large Cap Senior</v>
      </c>
      <c r="G99" s="73">
        <f>VLOOKUP(Table21[[#This Row],[Company]],Table1[],34,FALSE)</f>
        <v>0.1757</v>
      </c>
    </row>
    <row r="100" spans="1:7" x14ac:dyDescent="0.25">
      <c r="A100" t="e" vm="32">
        <v>#VALUE!</v>
      </c>
      <c r="B100" s="64" t="str">
        <f>VLOOKUP($A100,Table1[],2,FALSE)</f>
        <v>Large Cap Senior</v>
      </c>
      <c r="C100" s="73">
        <f>VLOOKUP(Table19[[#This Row],[Company]],Table1[],32,FALSE)</f>
        <v>0.83999999999999986</v>
      </c>
      <c r="E100" t="e" vm="32">
        <v>#VALUE!</v>
      </c>
      <c r="F100" s="64" t="str">
        <f>VLOOKUP($A100,Table1[],2,FALSE)</f>
        <v>Large Cap Senior</v>
      </c>
      <c r="G100" s="73">
        <f>VLOOKUP(Table21[[#This Row],[Company]],Table1[],34,FALSE)</f>
        <v>0.36370000000000002</v>
      </c>
    </row>
    <row r="101" spans="1:7" x14ac:dyDescent="0.25">
      <c r="A101" t="e" vm="33">
        <v>#VALUE!</v>
      </c>
      <c r="B101" s="64" t="str">
        <f>VLOOKUP($A101,Table1[],2,FALSE)</f>
        <v>Large Cap Senior</v>
      </c>
      <c r="C101" s="73">
        <f>VLOOKUP(Table19[[#This Row],[Company]],Table1[],32,FALSE)</f>
        <v>0.11160714285714285</v>
      </c>
      <c r="E101" t="e" vm="33">
        <v>#VALUE!</v>
      </c>
      <c r="F101" s="63" t="str">
        <f>VLOOKUP($A101,Table1[],2,FALSE)</f>
        <v>Large Cap Senior</v>
      </c>
      <c r="G101" s="73">
        <f>VLOOKUP(Table21[[#This Row],[Company]],Table1[],34,FALSE)</f>
        <v>9.7900000000000001E-2</v>
      </c>
    </row>
    <row r="102" spans="1:7" x14ac:dyDescent="0.25">
      <c r="A102" t="e" vm="36">
        <v>#VALUE!</v>
      </c>
      <c r="B102" s="63" t="str">
        <f>VLOOKUP($A102,Table1[],2,FALSE)</f>
        <v>Large Cap Senior</v>
      </c>
      <c r="C102" s="73">
        <f>VLOOKUP(Table19[[#This Row],[Company]],Table1[],32,FALSE)</f>
        <v>0.16129032258064535</v>
      </c>
      <c r="E102" t="e" vm="36">
        <v>#VALUE!</v>
      </c>
      <c r="F102" s="63" t="str">
        <f>VLOOKUP($A102,Table1[],2,FALSE)</f>
        <v>Large Cap Senior</v>
      </c>
      <c r="G102" s="73">
        <f>VLOOKUP(Table21[[#This Row],[Company]],Table1[],34,FALSE)</f>
        <v>0.27350000000000002</v>
      </c>
    </row>
    <row r="103" spans="1:7" x14ac:dyDescent="0.25">
      <c r="A103" t="e" vm="26">
        <v>#VALUE!</v>
      </c>
      <c r="B103" s="63" t="str">
        <f>VLOOKUP($A103,Table1[],2,FALSE)</f>
        <v>Large Cap Senior</v>
      </c>
      <c r="C103" s="73">
        <f>VLOOKUP(Table19[[#This Row],[Company]],Table1[],32,FALSE)</f>
        <v>0.25051851851851853</v>
      </c>
      <c r="E103" t="e" vm="26">
        <v>#VALUE!</v>
      </c>
      <c r="F103" s="64" t="str">
        <f>VLOOKUP($A103,Table1[],2,FALSE)</f>
        <v>Large Cap Senior</v>
      </c>
      <c r="G103" s="73">
        <f>VLOOKUP(Table21[[#This Row],[Company]],Table1[],34,FALSE)</f>
        <v>7.0999999999999994E-2</v>
      </c>
    </row>
    <row r="104" spans="1:7" x14ac:dyDescent="0.25">
      <c r="A104" t="e" vm="29">
        <v>#VALUE!</v>
      </c>
      <c r="B104" s="63" t="str">
        <f>VLOOKUP($A104,Table1[],2,FALSE)</f>
        <v>Mid Cap Senior</v>
      </c>
      <c r="C104" s="73">
        <f>VLOOKUP(Table19[[#This Row],[Company]],Table1[],32,FALSE)</f>
        <v>8.3333333333333412E-2</v>
      </c>
      <c r="E104" t="e" vm="29">
        <v>#VALUE!</v>
      </c>
      <c r="F104" s="63" t="str">
        <f>VLOOKUP($A104,Table1[],2,FALSE)</f>
        <v>Mid Cap Senior</v>
      </c>
      <c r="G104" s="73">
        <f>VLOOKUP(Table21[[#This Row],[Company]],Table1[],34,FALSE)</f>
        <v>-4.4400000000000002E-2</v>
      </c>
    </row>
    <row r="105" spans="1:7" x14ac:dyDescent="0.25">
      <c r="A105" t="e" vm="35">
        <v>#VALUE!</v>
      </c>
      <c r="B105" s="63" t="str">
        <f>VLOOKUP($A105,Table1[],2,FALSE)</f>
        <v>Mid Cap Senior</v>
      </c>
      <c r="C105" s="73">
        <f>VLOOKUP(Table19[[#This Row],[Company]],Table1[],32,FALSE)</f>
        <v>4.129793510324474E-2</v>
      </c>
      <c r="E105" t="e" vm="35">
        <v>#VALUE!</v>
      </c>
      <c r="F105" s="63" t="str">
        <f>VLOOKUP($A105,Table1[],2,FALSE)</f>
        <v>Mid Cap Senior</v>
      </c>
      <c r="G105" s="73">
        <f>VLOOKUP(Table21[[#This Row],[Company]],Table1[],34,FALSE)</f>
        <v>-2.5999999999999999E-3</v>
      </c>
    </row>
    <row r="106" spans="1:7" x14ac:dyDescent="0.25">
      <c r="A106" t="e" vm="34">
        <v>#VALUE!</v>
      </c>
      <c r="B106" s="64" t="str">
        <f>VLOOKUP($A106,Table1[],2,FALSE)</f>
        <v>Mid Cap Senior</v>
      </c>
      <c r="C106" s="73">
        <f>VLOOKUP(Table19[[#This Row],[Company]],Table1[],32,FALSE)</f>
        <v>0.20000000000000018</v>
      </c>
      <c r="E106" t="e" vm="34">
        <v>#VALUE!</v>
      </c>
      <c r="F106" s="63" t="str">
        <f>VLOOKUP($A106,Table1[],2,FALSE)</f>
        <v>Mid Cap Senior</v>
      </c>
      <c r="G106" s="73">
        <f>VLOOKUP(Table21[[#This Row],[Company]],Table1[],34,FALSE)</f>
        <v>0.14630000000000001</v>
      </c>
    </row>
    <row r="107" spans="1:7" x14ac:dyDescent="0.25">
      <c r="A107" t="e" vm="31">
        <v>#VALUE!</v>
      </c>
      <c r="B107" s="64" t="str">
        <f>VLOOKUP($A107,Table1[],2,FALSE)</f>
        <v>Mid Cap Senior</v>
      </c>
      <c r="C107" s="73">
        <f>VLOOKUP(Table19[[#This Row],[Company]],Table1[],32,FALSE)</f>
        <v>0.81249999999999989</v>
      </c>
      <c r="E107" t="e" vm="31">
        <v>#VALUE!</v>
      </c>
      <c r="F107" s="63" t="str">
        <f>VLOOKUP($A107,Table1[],2,FALSE)</f>
        <v>Mid Cap Senior</v>
      </c>
      <c r="G107" s="73">
        <f>VLOOKUP(Table21[[#This Row],[Company]],Table1[],34,FALSE)</f>
        <v>0.16289999999999999</v>
      </c>
    </row>
    <row r="108" spans="1:7" x14ac:dyDescent="0.25">
      <c r="A108" t="e" vm="30">
        <v>#VALUE!</v>
      </c>
      <c r="B108" s="64" t="str">
        <f>VLOOKUP($A108,Table1[],2,FALSE)</f>
        <v>Mid Cap Senior</v>
      </c>
      <c r="C108" s="73">
        <f>VLOOKUP(Table19[[#This Row],[Company]],Table1[],32,FALSE)</f>
        <v>-0.10555555555555553</v>
      </c>
      <c r="E108" t="e" vm="30">
        <v>#VALUE!</v>
      </c>
      <c r="F108" s="64" t="str">
        <f>VLOOKUP($A108,Table1[],2,FALSE)</f>
        <v>Mid Cap Senior</v>
      </c>
      <c r="G108" s="73">
        <f>VLOOKUP(Table21[[#This Row],[Company]],Table1[],34,FALSE)</f>
        <v>5.5199999999999999E-2</v>
      </c>
    </row>
    <row r="109" spans="1:7" x14ac:dyDescent="0.25">
      <c r="A109" t="e" vm="19">
        <v>#VALUE!</v>
      </c>
      <c r="B109" s="63" t="str">
        <f>VLOOKUP($A109,Table1[],2,FALSE)</f>
        <v>Mid Cap Senior</v>
      </c>
      <c r="C109" s="73">
        <f>VLOOKUP(Table19[[#This Row],[Company]],Table1[],32,FALSE)</f>
        <v>1.7247191011235956</v>
      </c>
      <c r="E109" t="e" vm="19">
        <v>#VALUE!</v>
      </c>
      <c r="F109" s="64" t="str">
        <f>VLOOKUP($A109,Table1[],2,FALSE)</f>
        <v>Mid Cap Senior</v>
      </c>
      <c r="G109" s="73">
        <f>VLOOKUP(Table21[[#This Row],[Company]],Table1[],34,FALSE)</f>
        <v>4.41E-2</v>
      </c>
    </row>
    <row r="110" spans="1:7" x14ac:dyDescent="0.25">
      <c r="A110" t="e" vm="22">
        <v>#VALUE!</v>
      </c>
      <c r="B110" s="63" t="str">
        <f>VLOOKUP($A110,Table1[],2,FALSE)</f>
        <v>Mid Cap Senior</v>
      </c>
      <c r="C110" s="73">
        <f>VLOOKUP(Table19[[#This Row],[Company]],Table1[],32,FALSE)</f>
        <v>0.25847457627118658</v>
      </c>
      <c r="E110" t="e" vm="22">
        <v>#VALUE!</v>
      </c>
      <c r="F110" s="64" t="str">
        <f>VLOOKUP($A110,Table1[],2,FALSE)</f>
        <v>Mid Cap Senior</v>
      </c>
      <c r="G110" s="73">
        <f>VLOOKUP(Table21[[#This Row],[Company]],Table1[],34,FALSE)</f>
        <v>3.6299999999999999E-2</v>
      </c>
    </row>
    <row r="111" spans="1:7" x14ac:dyDescent="0.25">
      <c r="A111" t="e" vm="24">
        <v>#VALUE!</v>
      </c>
      <c r="B111" s="64" t="str">
        <f>VLOOKUP($A111,Table1[],2,FALSE)</f>
        <v>Small Cap Senior</v>
      </c>
      <c r="C111" s="73">
        <f>VLOOKUP(Table19[[#This Row],[Company]],Table1[],32,FALSE)</f>
        <v>-5.1048167706833139E-2</v>
      </c>
      <c r="E111" t="e" vm="24">
        <v>#VALUE!</v>
      </c>
      <c r="F111" s="64" t="str">
        <f>VLOOKUP($A111,Table1[],2,FALSE)</f>
        <v>Small Cap Senior</v>
      </c>
      <c r="G111" s="73">
        <f>VLOOKUP(Table21[[#This Row],[Company]],Table1[],34,FALSE)</f>
        <v>4.19E-2</v>
      </c>
    </row>
    <row r="112" spans="1:7" x14ac:dyDescent="0.25">
      <c r="A112" t="e" vm="25">
        <v>#VALUE!</v>
      </c>
      <c r="B112" s="63" t="str">
        <f>VLOOKUP($A112,Table1[],2,FALSE)</f>
        <v>Small Cap Senior</v>
      </c>
      <c r="C112" s="73">
        <f>VLOOKUP(Table19[[#This Row],[Company]],Table1[],32,FALSE)</f>
        <v>0.58056265984654731</v>
      </c>
      <c r="E112" t="e" vm="25">
        <v>#VALUE!</v>
      </c>
      <c r="F112" s="63" t="str">
        <f>VLOOKUP($A112,Table1[],2,FALSE)</f>
        <v>Small Cap Senior</v>
      </c>
      <c r="G112" s="73">
        <f>VLOOKUP(Table21[[#This Row],[Company]],Table1[],34,FALSE)</f>
        <v>2.41E-2</v>
      </c>
    </row>
    <row r="113" spans="1:7" x14ac:dyDescent="0.25">
      <c r="A113" t="e" vm="28">
        <v>#VALUE!</v>
      </c>
      <c r="B113" s="64" t="str">
        <f>VLOOKUP($A113,Table1[],2,FALSE)</f>
        <v>Small Cap Senior</v>
      </c>
      <c r="C113" s="73">
        <f>VLOOKUP(Table19[[#This Row],[Company]],Table1[],32,FALSE)</f>
        <v>-1.8348623853211024E-2</v>
      </c>
      <c r="E113" t="e" vm="28">
        <v>#VALUE!</v>
      </c>
      <c r="F113" s="63" t="str">
        <f>VLOOKUP($A113,Table1[],2,FALSE)</f>
        <v>Small Cap Senior</v>
      </c>
      <c r="G113" s="73">
        <f>VLOOKUP(Table21[[#This Row],[Company]],Table1[],34,FALSE)</f>
        <v>-0.16250000000000001</v>
      </c>
    </row>
    <row r="114" spans="1:7" x14ac:dyDescent="0.25">
      <c r="A114" t="e" vm="16">
        <v>#VALUE!</v>
      </c>
      <c r="B114" s="64" t="str">
        <f>VLOOKUP($A114,Table1[],2,FALSE)</f>
        <v>Small Cap Senior</v>
      </c>
      <c r="C114" s="73">
        <f>VLOOKUP(Table19[[#This Row],[Company]],Table1[],32,FALSE)</f>
        <v>0</v>
      </c>
      <c r="E114" t="e" vm="16">
        <v>#VALUE!</v>
      </c>
      <c r="F114" s="64" t="str">
        <f>VLOOKUP($A114,Table1[],2,FALSE)</f>
        <v>Small Cap Senior</v>
      </c>
      <c r="G114" s="73">
        <f>VLOOKUP(Table21[[#This Row],[Company]],Table1[],34,FALSE)</f>
        <v>0</v>
      </c>
    </row>
    <row r="115" spans="1:7" x14ac:dyDescent="0.25">
      <c r="A115" t="e" vm="21">
        <v>#VALUE!</v>
      </c>
      <c r="B115" s="63" t="str">
        <f>VLOOKUP($A115,Table1[],2,FALSE)</f>
        <v>Small Cap Senior</v>
      </c>
      <c r="C115" s="73">
        <f>VLOOKUP(Table19[[#This Row],[Company]],Table1[],32,FALSE)</f>
        <v>0.35225171023018481</v>
      </c>
      <c r="E115" t="e" vm="21">
        <v>#VALUE!</v>
      </c>
      <c r="F115" s="63" t="str">
        <f>VLOOKUP($A115,Table1[],2,FALSE)</f>
        <v>Small Cap Senior</v>
      </c>
      <c r="G115" s="73">
        <f>VLOOKUP(Table21[[#This Row],[Company]],Table1[],34,FALSE)</f>
        <v>5.4399999999999997E-2</v>
      </c>
    </row>
    <row r="116" spans="1:7" x14ac:dyDescent="0.25">
      <c r="A116" t="e" vm="18">
        <v>#VALUE!</v>
      </c>
      <c r="B116" s="63" t="str">
        <f>VLOOKUP($A116,Table1[],2,FALSE)</f>
        <v>Small Cap Senior</v>
      </c>
      <c r="C116" s="73">
        <f>VLOOKUP(Table19[[#This Row],[Company]],Table1[],32,FALSE)</f>
        <v>0.83694351133248379</v>
      </c>
      <c r="E116" t="e" vm="18">
        <v>#VALUE!</v>
      </c>
      <c r="F116" s="64" t="str">
        <f>VLOOKUP($A116,Table1[],2,FALSE)</f>
        <v>Small Cap Senior</v>
      </c>
      <c r="G116" s="73">
        <f>VLOOKUP(Table21[[#This Row],[Company]],Table1[],34,FALSE)</f>
        <v>6.6100000000000006E-2</v>
      </c>
    </row>
    <row r="117" spans="1:7" x14ac:dyDescent="0.25">
      <c r="A117" t="e" vm="23">
        <v>#VALUE!</v>
      </c>
      <c r="B117" s="64" t="str">
        <f>VLOOKUP($A117,Table1[],2,FALSE)</f>
        <v>Small Cap Senior</v>
      </c>
      <c r="C117" s="73">
        <f>VLOOKUP(Table19[[#This Row],[Company]],Table1[],32,FALSE)</f>
        <v>1.0349317243569387</v>
      </c>
      <c r="E117" t="e" vm="23">
        <v>#VALUE!</v>
      </c>
      <c r="F117" s="64" t="str">
        <f>VLOOKUP($A117,Table1[],2,FALSE)</f>
        <v>Small Cap Senior</v>
      </c>
      <c r="G117" s="73">
        <f>VLOOKUP(Table21[[#This Row],[Company]],Table1[],34,FALSE)</f>
        <v>8.9300000000000004E-2</v>
      </c>
    </row>
    <row r="118" spans="1:7" x14ac:dyDescent="0.25">
      <c r="A118" t="e" vm="15">
        <v>#VALUE!</v>
      </c>
      <c r="B118" s="64" t="str">
        <f>VLOOKUP($A118,Table1[],2,FALSE)</f>
        <v>Small Cap Junior</v>
      </c>
      <c r="C118" s="73">
        <f>VLOOKUP(Table19[[#This Row],[Company]],Table1[],32,FALSE)</f>
        <v>0.34927904397295073</v>
      </c>
      <c r="E118" t="e" vm="15">
        <v>#VALUE!</v>
      </c>
      <c r="F118" s="64" t="str">
        <f>VLOOKUP($A118,Table1[],2,FALSE)</f>
        <v>Small Cap Junior</v>
      </c>
      <c r="G118" s="73">
        <f>VLOOKUP(Table21[[#This Row],[Company]],Table1[],34,FALSE)</f>
        <v>3.1199999999999999E-2</v>
      </c>
    </row>
    <row r="119" spans="1:7" x14ac:dyDescent="0.25">
      <c r="A119" t="e" vm="27">
        <v>#VALUE!</v>
      </c>
      <c r="B119" s="63" t="str">
        <f>VLOOKUP($A119,Table1[],2,FALSE)</f>
        <v>Small Cap Junior</v>
      </c>
      <c r="C119" s="73">
        <f>VLOOKUP(Table19[[#This Row],[Company]],Table1[],32,FALSE)</f>
        <v>17.779800000000002</v>
      </c>
      <c r="E119" t="e" vm="27">
        <v>#VALUE!</v>
      </c>
      <c r="F119" s="64" t="str">
        <f>VLOOKUP($A119,Table1[],2,FALSE)</f>
        <v>Small Cap Junior</v>
      </c>
      <c r="G119" s="73">
        <f>VLOOKUP(Table21[[#This Row],[Company]],Table1[],34,FALSE)</f>
        <v>-5.2200000000000003E-2</v>
      </c>
    </row>
    <row r="120" spans="1:7" x14ac:dyDescent="0.25">
      <c r="A120" t="e" vm="9">
        <v>#VALUE!</v>
      </c>
      <c r="B120" s="64" t="str">
        <f>VLOOKUP($A120,Table1[],2,FALSE)</f>
        <v>Small Cap Junior</v>
      </c>
      <c r="C120" s="73">
        <f>VLOOKUP(Table19[[#This Row],[Company]],Table1[],32,FALSE)</f>
        <v>0</v>
      </c>
      <c r="E120" t="e" vm="9">
        <v>#VALUE!</v>
      </c>
      <c r="F120" s="63" t="str">
        <f>VLOOKUP($A120,Table1[],2,FALSE)</f>
        <v>Small Cap Junior</v>
      </c>
      <c r="G120" s="73">
        <f>VLOOKUP(Table21[[#This Row],[Company]],Table1[],34,FALSE)</f>
        <v>-88.6327</v>
      </c>
    </row>
    <row r="121" spans="1:7" x14ac:dyDescent="0.25">
      <c r="A121" t="e" vm="12">
        <v>#VALUE!</v>
      </c>
      <c r="B121" s="63" t="str">
        <f>VLOOKUP($A121,Table1[],2,FALSE)</f>
        <v>Small Cap Junior</v>
      </c>
      <c r="C121" s="73">
        <f>VLOOKUP(Table19[[#This Row],[Company]],Table1[],32,FALSE)</f>
        <v>0.92452830188679247</v>
      </c>
      <c r="E121" t="e" vm="12">
        <v>#VALUE!</v>
      </c>
      <c r="F121" s="63" t="str">
        <f>VLOOKUP($A121,Table1[],2,FALSE)</f>
        <v>Small Cap Junior</v>
      </c>
      <c r="G121" s="73">
        <f>VLOOKUP(Table21[[#This Row],[Company]],Table1[],34,FALSE)</f>
        <v>0.33639999999999998</v>
      </c>
    </row>
    <row r="122" spans="1:7" x14ac:dyDescent="0.25">
      <c r="A122" t="e" vm="13">
        <v>#VALUE!</v>
      </c>
      <c r="B122" s="63" t="str">
        <f>VLOOKUP($A122,Table1[],2,FALSE)</f>
        <v>Small Cap Junior</v>
      </c>
      <c r="C122" s="73">
        <f>VLOOKUP(Table19[[#This Row],[Company]],Table1[],32,FALSE)</f>
        <v>0.73440047428486732</v>
      </c>
      <c r="E122" t="e" vm="13">
        <v>#VALUE!</v>
      </c>
      <c r="F122" s="63" t="str">
        <f>VLOOKUP($A122,Table1[],2,FALSE)</f>
        <v>Small Cap Junior</v>
      </c>
      <c r="G122" s="73">
        <f>VLOOKUP(Table21[[#This Row],[Company]],Table1[],34,FALSE)</f>
        <v>-0.12130000000000001</v>
      </c>
    </row>
    <row r="123" spans="1:7" x14ac:dyDescent="0.25">
      <c r="A123" t="e" vm="17">
        <v>#VALUE!</v>
      </c>
      <c r="B123" s="64" t="str">
        <f>VLOOKUP($A123,Table1[],2,FALSE)</f>
        <v>Small Cap Junior</v>
      </c>
      <c r="C123" s="73">
        <f>VLOOKUP(Table19[[#This Row],[Company]],Table1[],32,FALSE)</f>
        <v>0.62233084641111402</v>
      </c>
      <c r="E123" t="e" vm="17">
        <v>#VALUE!</v>
      </c>
      <c r="F123" s="63" t="str">
        <f>VLOOKUP($A123,Table1[],2,FALSE)</f>
        <v>Small Cap Junior</v>
      </c>
      <c r="G123" s="73">
        <f>VLOOKUP(Table21[[#This Row],[Company]],Table1[],34,FALSE)</f>
        <v>-7.6499999999999999E-2</v>
      </c>
    </row>
    <row r="124" spans="1:7" x14ac:dyDescent="0.25">
      <c r="A124" t="e" vm="20">
        <v>#VALUE!</v>
      </c>
      <c r="B124" s="63" t="str">
        <f>VLOOKUP($A124,Table1[],2,FALSE)</f>
        <v>Small Cap Junior</v>
      </c>
      <c r="C124" s="73">
        <f>VLOOKUP(Table19[[#This Row],[Company]],Table1[],32,FALSE)</f>
        <v>0.21191031267142074</v>
      </c>
      <c r="E124" t="e" vm="20">
        <v>#VALUE!</v>
      </c>
      <c r="F124" s="64" t="str">
        <f>VLOOKUP($A124,Table1[],2,FALSE)</f>
        <v>Small Cap Junior</v>
      </c>
      <c r="G124" s="73">
        <f>VLOOKUP(Table21[[#This Row],[Company]],Table1[],34,FALSE)</f>
        <v>-5.91E-2</v>
      </c>
    </row>
    <row r="125" spans="1:7" x14ac:dyDescent="0.25">
      <c r="A125" t="e" vm="11">
        <v>#VALUE!</v>
      </c>
      <c r="B125" s="63" t="str">
        <f>VLOOKUP($A125,Table1[],2,FALSE)</f>
        <v>Small Cap Junior</v>
      </c>
      <c r="C125" s="73">
        <f>VLOOKUP(Table19[[#This Row],[Company]],Table1[],32,FALSE)</f>
        <v>0</v>
      </c>
      <c r="E125" t="e" vm="11">
        <v>#VALUE!</v>
      </c>
      <c r="F125" s="63" t="str">
        <f>VLOOKUP($A125,Table1[],2,FALSE)</f>
        <v>Small Cap Junior</v>
      </c>
      <c r="G125" s="73">
        <f>VLOOKUP(Table21[[#This Row],[Company]],Table1[],34,FALSE)</f>
        <v>0</v>
      </c>
    </row>
    <row r="126" spans="1:7" x14ac:dyDescent="0.25">
      <c r="A126" t="e" vm="14">
        <v>#VALUE!</v>
      </c>
      <c r="B126" s="67" t="str">
        <f>VLOOKUP($A126,Table1[],2,FALSE)</f>
        <v>Small Cap Junior</v>
      </c>
      <c r="C126" s="73">
        <f>VLOOKUP(Table19[[#This Row],[Company]],Table1[],32,FALSE)</f>
        <v>0</v>
      </c>
      <c r="E126" t="e" vm="14">
        <v>#VALUE!</v>
      </c>
      <c r="F126" s="67" t="str">
        <f>VLOOKUP($A126,Table1[],2,FALSE)</f>
        <v>Small Cap Junior</v>
      </c>
      <c r="G126" s="73">
        <f>VLOOKUP(Table21[[#This Row],[Company]],Table1[],34,FALSE)</f>
        <v>0</v>
      </c>
    </row>
    <row r="127" spans="1:7" x14ac:dyDescent="0.25">
      <c r="A127" t="e" vm="10">
        <v>#VALUE!</v>
      </c>
      <c r="B127" s="67" t="str">
        <f>VLOOKUP($A127,Table1[],2,FALSE)</f>
        <v>Small Cap Junior</v>
      </c>
      <c r="C127" s="73">
        <f>VLOOKUP(Table19[[#This Row],[Company]],Table1[],32,FALSE)</f>
        <v>0.70695398709140111</v>
      </c>
      <c r="E127" t="e" vm="10">
        <v>#VALUE!</v>
      </c>
      <c r="F127" s="67" t="str">
        <f>VLOOKUP($A127,Table1[],2,FALSE)</f>
        <v>Small Cap Junior</v>
      </c>
      <c r="G127" s="73">
        <f>VLOOKUP(Table21[[#This Row],[Company]],Table1[],34,FALSE)</f>
        <v>0.22520000000000001</v>
      </c>
    </row>
    <row r="129" spans="1:7" ht="15.75" thickBot="1" x14ac:dyDescent="0.3">
      <c r="A129" s="65" t="s">
        <v>75</v>
      </c>
      <c r="B129" s="65" t="s">
        <v>95</v>
      </c>
      <c r="C129" s="66" t="s">
        <v>87</v>
      </c>
      <c r="E129" s="71" t="s">
        <v>75</v>
      </c>
      <c r="F129" s="71" t="s">
        <v>95</v>
      </c>
      <c r="G129" s="66" t="s">
        <v>89</v>
      </c>
    </row>
    <row r="130" spans="1:7" x14ac:dyDescent="0.25">
      <c r="A130" t="e" vm="37">
        <v>#VALUE!</v>
      </c>
      <c r="B130" s="64" t="str">
        <f>VLOOKUP($A130,Table1[],2,FALSE)</f>
        <v>Large Cap Senior</v>
      </c>
      <c r="C130" s="73">
        <f>VLOOKUP(Table20[[#This Row],[Company]],Table1[],33,FALSE)</f>
        <v>9.4E-2</v>
      </c>
      <c r="E130" t="e" vm="37">
        <v>#VALUE!</v>
      </c>
      <c r="F130" s="64" t="str">
        <f>VLOOKUP($A130,Table1[],2,FALSE)</f>
        <v>Large Cap Senior</v>
      </c>
      <c r="G130" s="73">
        <f>VLOOKUP(Table22[[#This Row],[Company]],Table1[],35,FALSE)</f>
        <v>0.28799999999999998</v>
      </c>
    </row>
    <row r="131" spans="1:7" x14ac:dyDescent="0.25">
      <c r="A131" t="e" vm="32">
        <v>#VALUE!</v>
      </c>
      <c r="B131" s="64" t="str">
        <f>VLOOKUP($A131,Table1[],2,FALSE)</f>
        <v>Large Cap Senior</v>
      </c>
      <c r="C131" s="73">
        <f>VLOOKUP(Table20[[#This Row],[Company]],Table1[],33,FALSE)</f>
        <v>0.26250000000000001</v>
      </c>
      <c r="E131" t="e" vm="32">
        <v>#VALUE!</v>
      </c>
      <c r="F131" s="63" t="str">
        <f>VLOOKUP($A131,Table1[],2,FALSE)</f>
        <v>Large Cap Senior</v>
      </c>
      <c r="G131" s="73">
        <f>VLOOKUP(Table22[[#This Row],[Company]],Table1[],35,FALSE)</f>
        <v>0.40589999999999998</v>
      </c>
    </row>
    <row r="132" spans="1:7" x14ac:dyDescent="0.25">
      <c r="A132" t="e" vm="33">
        <v>#VALUE!</v>
      </c>
      <c r="B132" s="63" t="str">
        <f>VLOOKUP($A132,Table1[],2,FALSE)</f>
        <v>Large Cap Senior</v>
      </c>
      <c r="C132" s="73">
        <f>VLOOKUP(Table20[[#This Row],[Company]],Table1[],33,FALSE)</f>
        <v>5.6899999999999999E-2</v>
      </c>
      <c r="E132" t="e" vm="33">
        <v>#VALUE!</v>
      </c>
      <c r="F132" s="63" t="str">
        <f>VLOOKUP($A132,Table1[],2,FALSE)</f>
        <v>Large Cap Senior</v>
      </c>
      <c r="G132" s="73">
        <f>VLOOKUP(Table22[[#This Row],[Company]],Table1[],35,FALSE)</f>
        <v>0.18790000000000001</v>
      </c>
    </row>
    <row r="133" spans="1:7" x14ac:dyDescent="0.25">
      <c r="A133" t="e" vm="36">
        <v>#VALUE!</v>
      </c>
      <c r="B133" s="63" t="str">
        <f>VLOOKUP($A133,Table1[],2,FALSE)</f>
        <v>Large Cap Senior</v>
      </c>
      <c r="C133" s="73">
        <f>VLOOKUP(Table20[[#This Row],[Company]],Table1[],33,FALSE)</f>
        <v>0.11840000000000001</v>
      </c>
      <c r="E133" t="e" vm="36">
        <v>#VALUE!</v>
      </c>
      <c r="F133" s="63" t="str">
        <f>VLOOKUP($A133,Table1[],2,FALSE)</f>
        <v>Large Cap Senior</v>
      </c>
      <c r="G133" s="73">
        <f>VLOOKUP(Table22[[#This Row],[Company]],Table1[],35,FALSE)</f>
        <v>0.40849999999999997</v>
      </c>
    </row>
    <row r="134" spans="1:7" x14ac:dyDescent="0.25">
      <c r="A134" t="e" vm="26">
        <v>#VALUE!</v>
      </c>
      <c r="B134" s="64" t="str">
        <f>VLOOKUP($A134,Table1[],2,FALSE)</f>
        <v>Large Cap Senior</v>
      </c>
      <c r="C134" s="73">
        <f>VLOOKUP(Table20[[#This Row],[Company]],Table1[],33,FALSE)</f>
        <v>6.7400000000000002E-2</v>
      </c>
      <c r="E134" t="e" vm="26">
        <v>#VALUE!</v>
      </c>
      <c r="F134" s="63" t="str">
        <f>VLOOKUP($A134,Table1[],2,FALSE)</f>
        <v>Large Cap Senior</v>
      </c>
      <c r="G134" s="73">
        <f>VLOOKUP(Table22[[#This Row],[Company]],Table1[],35,FALSE)</f>
        <v>0.40770000000000001</v>
      </c>
    </row>
    <row r="135" spans="1:7" x14ac:dyDescent="0.25">
      <c r="A135" t="e" vm="29">
        <v>#VALUE!</v>
      </c>
      <c r="B135" s="64" t="str">
        <f>VLOOKUP($A135,Table1[],2,FALSE)</f>
        <v>Mid Cap Senior</v>
      </c>
      <c r="C135" s="73">
        <f>VLOOKUP(Table20[[#This Row],[Company]],Table1[],33,FALSE)</f>
        <v>-3.3799999999999997E-2</v>
      </c>
      <c r="E135" t="e" vm="29">
        <v>#VALUE!</v>
      </c>
      <c r="F135" s="64" t="str">
        <f>VLOOKUP($A135,Table1[],2,FALSE)</f>
        <v>Mid Cap Senior</v>
      </c>
      <c r="G135" s="73">
        <f>VLOOKUP(Table22[[#This Row],[Company]],Table1[],35,FALSE)</f>
        <v>-6.8000000000000005E-2</v>
      </c>
    </row>
    <row r="136" spans="1:7" x14ac:dyDescent="0.25">
      <c r="A136" t="e" vm="35">
        <v>#VALUE!</v>
      </c>
      <c r="B136" s="63" t="str">
        <f>VLOOKUP($A136,Table1[],2,FALSE)</f>
        <v>Mid Cap Senior</v>
      </c>
      <c r="C136" s="73">
        <f>VLOOKUP(Table20[[#This Row],[Company]],Table1[],33,FALSE)</f>
        <v>-1E-3</v>
      </c>
      <c r="E136" t="e" vm="35">
        <v>#VALUE!</v>
      </c>
      <c r="F136" s="64" t="str">
        <f>VLOOKUP($A136,Table1[],2,FALSE)</f>
        <v>Mid Cap Senior</v>
      </c>
      <c r="G136" s="73">
        <f>VLOOKUP(Table22[[#This Row],[Company]],Table1[],35,FALSE)</f>
        <v>-2E-3</v>
      </c>
    </row>
    <row r="137" spans="1:7" x14ac:dyDescent="0.25">
      <c r="A137" t="e" vm="34">
        <v>#VALUE!</v>
      </c>
      <c r="B137" s="63" t="str">
        <f>VLOOKUP($A137,Table1[],2,FALSE)</f>
        <v>Mid Cap Senior</v>
      </c>
      <c r="C137" s="73">
        <f>VLOOKUP(Table20[[#This Row],[Company]],Table1[],33,FALSE)</f>
        <v>8.3900000000000002E-2</v>
      </c>
      <c r="E137" t="e" vm="34">
        <v>#VALUE!</v>
      </c>
      <c r="F137" s="63" t="str">
        <f>VLOOKUP($A137,Table1[],2,FALSE)</f>
        <v>Mid Cap Senior</v>
      </c>
      <c r="G137" s="73">
        <f>VLOOKUP(Table22[[#This Row],[Company]],Table1[],35,FALSE)</f>
        <v>0.20549999999999999</v>
      </c>
    </row>
    <row r="138" spans="1:7" x14ac:dyDescent="0.25">
      <c r="A138" t="e" vm="31">
        <v>#VALUE!</v>
      </c>
      <c r="B138" s="64" t="str">
        <f>VLOOKUP($A138,Table1[],2,FALSE)</f>
        <v>Mid Cap Senior</v>
      </c>
      <c r="C138" s="73">
        <f>VLOOKUP(Table20[[#This Row],[Company]],Table1[],33,FALSE)</f>
        <v>0.112</v>
      </c>
      <c r="E138" t="e" vm="31">
        <v>#VALUE!</v>
      </c>
      <c r="F138" s="64" t="str">
        <f>VLOOKUP($A138,Table1[],2,FALSE)</f>
        <v>Mid Cap Senior</v>
      </c>
      <c r="G138" s="73">
        <f>VLOOKUP(Table22[[#This Row],[Company]],Table1[],35,FALSE)</f>
        <v>0.25390000000000001</v>
      </c>
    </row>
    <row r="139" spans="1:7" x14ac:dyDescent="0.25">
      <c r="A139" t="e" vm="30">
        <v>#VALUE!</v>
      </c>
      <c r="B139" s="64" t="str">
        <f>VLOOKUP($A139,Table1[],2,FALSE)</f>
        <v>Mid Cap Senior</v>
      </c>
      <c r="C139" s="73">
        <f>VLOOKUP(Table20[[#This Row],[Company]],Table1[],33,FALSE)</f>
        <v>2.98E-2</v>
      </c>
      <c r="E139" t="e" vm="30">
        <v>#VALUE!</v>
      </c>
      <c r="F139" s="64" t="str">
        <f>VLOOKUP($A139,Table1[],2,FALSE)</f>
        <v>Mid Cap Senior</v>
      </c>
      <c r="G139" s="73">
        <f>VLOOKUP(Table22[[#This Row],[Company]],Table1[],35,FALSE)</f>
        <v>0.1399</v>
      </c>
    </row>
    <row r="140" spans="1:7" x14ac:dyDescent="0.25">
      <c r="A140" t="e" vm="19">
        <v>#VALUE!</v>
      </c>
      <c r="B140" s="64" t="str">
        <f>VLOOKUP($A140,Table1[],2,FALSE)</f>
        <v>Mid Cap Senior</v>
      </c>
      <c r="C140" s="73">
        <f>VLOOKUP(Table20[[#This Row],[Company]],Table1[],33,FALSE)</f>
        <v>2.5700000000000001E-2</v>
      </c>
      <c r="E140" t="e" vm="19">
        <v>#VALUE!</v>
      </c>
      <c r="F140" s="64" t="str">
        <f>VLOOKUP($A140,Table1[],2,FALSE)</f>
        <v>Mid Cap Senior</v>
      </c>
      <c r="G140" s="73">
        <f>VLOOKUP(Table22[[#This Row],[Company]],Table1[],35,FALSE)</f>
        <v>8.4400000000000003E-2</v>
      </c>
    </row>
    <row r="141" spans="1:7" x14ac:dyDescent="0.25">
      <c r="A141" t="e" vm="22">
        <v>#VALUE!</v>
      </c>
      <c r="B141" s="63" t="str">
        <f>VLOOKUP($A141,Table1[],2,FALSE)</f>
        <v>Mid Cap Senior</v>
      </c>
      <c r="C141" s="73">
        <f>VLOOKUP(Table20[[#This Row],[Company]],Table1[],33,FALSE)</f>
        <v>2.8899999999999999E-2</v>
      </c>
      <c r="E141" t="e" vm="22">
        <v>#VALUE!</v>
      </c>
      <c r="F141" s="64" t="str">
        <f>VLOOKUP($A141,Table1[],2,FALSE)</f>
        <v>Mid Cap Senior</v>
      </c>
      <c r="G141" s="73">
        <f>VLOOKUP(Table22[[#This Row],[Company]],Table1[],35,FALSE)</f>
        <v>0.14069999999999999</v>
      </c>
    </row>
    <row r="142" spans="1:7" x14ac:dyDescent="0.25">
      <c r="A142" t="e" vm="24">
        <v>#VALUE!</v>
      </c>
      <c r="B142" s="63" t="str">
        <f>VLOOKUP($A142,Table1[],2,FALSE)</f>
        <v>Small Cap Senior</v>
      </c>
      <c r="C142" s="73">
        <f>VLOOKUP(Table20[[#This Row],[Company]],Table1[],33,FALSE)</f>
        <v>0.04</v>
      </c>
      <c r="E142" t="e" vm="24">
        <v>#VALUE!</v>
      </c>
      <c r="F142" s="64" t="str">
        <f>VLOOKUP($A142,Table1[],2,FALSE)</f>
        <v>Small Cap Senior</v>
      </c>
      <c r="G142" s="73">
        <f>VLOOKUP(Table22[[#This Row],[Company]],Table1[],35,FALSE)</f>
        <v>8.9800000000000005E-2</v>
      </c>
    </row>
    <row r="143" spans="1:7" x14ac:dyDescent="0.25">
      <c r="A143" t="e" vm="25">
        <v>#VALUE!</v>
      </c>
      <c r="B143" s="64" t="str">
        <f>VLOOKUP($A143,Table1[],2,FALSE)</f>
        <v>Small Cap Senior</v>
      </c>
      <c r="C143" s="73">
        <f>VLOOKUP(Table20[[#This Row],[Company]],Table1[],33,FALSE)</f>
        <v>1.7399999999999999E-2</v>
      </c>
      <c r="E143" t="e" vm="25">
        <v>#VALUE!</v>
      </c>
      <c r="F143" s="63" t="str">
        <f>VLOOKUP($A143,Table1[],2,FALSE)</f>
        <v>Small Cap Senior</v>
      </c>
      <c r="G143" s="73">
        <f>VLOOKUP(Table22[[#This Row],[Company]],Table1[],35,FALSE)</f>
        <v>0.13039999999999999</v>
      </c>
    </row>
    <row r="144" spans="1:7" x14ac:dyDescent="0.25">
      <c r="A144" t="e" vm="28">
        <v>#VALUE!</v>
      </c>
      <c r="B144" s="63" t="str">
        <f>VLOOKUP($A144,Table1[],2,FALSE)</f>
        <v>Small Cap Senior</v>
      </c>
      <c r="C144" s="73">
        <f>VLOOKUP(Table20[[#This Row],[Company]],Table1[],33,FALSE)</f>
        <v>-0.1055</v>
      </c>
      <c r="E144" t="e" vm="28">
        <v>#VALUE!</v>
      </c>
      <c r="F144" s="63" t="str">
        <f>VLOOKUP($A144,Table1[],2,FALSE)</f>
        <v>Small Cap Senior</v>
      </c>
      <c r="G144" s="73">
        <f>VLOOKUP(Table22[[#This Row],[Company]],Table1[],35,FALSE)</f>
        <v>-0.38729999999999998</v>
      </c>
    </row>
    <row r="145" spans="1:9" x14ac:dyDescent="0.25">
      <c r="A145" t="e" vm="16">
        <v>#VALUE!</v>
      </c>
      <c r="B145" s="64" t="str">
        <f>VLOOKUP($A145,Table1[],2,FALSE)</f>
        <v>Small Cap Senior</v>
      </c>
      <c r="C145" s="73">
        <f>VLOOKUP(Table20[[#This Row],[Company]],Table1[],33,FALSE)</f>
        <v>0</v>
      </c>
      <c r="E145" t="e" vm="16">
        <v>#VALUE!</v>
      </c>
      <c r="F145" s="63" t="str">
        <f>VLOOKUP($A145,Table1[],2,FALSE)</f>
        <v>Small Cap Senior</v>
      </c>
      <c r="G145" s="73">
        <f>VLOOKUP(Table22[[#This Row],[Company]],Table1[],35,FALSE)</f>
        <v>0</v>
      </c>
    </row>
    <row r="146" spans="1:9" x14ac:dyDescent="0.25">
      <c r="A146" t="e" vm="21">
        <v>#VALUE!</v>
      </c>
      <c r="B146" s="63" t="str">
        <f>VLOOKUP($A146,Table1[],2,FALSE)</f>
        <v>Small Cap Senior</v>
      </c>
      <c r="C146" s="73">
        <f>VLOOKUP(Table20[[#This Row],[Company]],Table1[],33,FALSE)</f>
        <v>3.5000000000000003E-2</v>
      </c>
      <c r="E146" t="e" vm="21">
        <v>#VALUE!</v>
      </c>
      <c r="F146" s="64" t="str">
        <f>VLOOKUP($A146,Table1[],2,FALSE)</f>
        <v>Small Cap Senior</v>
      </c>
      <c r="G146" s="73">
        <f>VLOOKUP(Table22[[#This Row],[Company]],Table1[],35,FALSE)</f>
        <v>9.4399999999999998E-2</v>
      </c>
    </row>
    <row r="147" spans="1:9" x14ac:dyDescent="0.25">
      <c r="A147" t="e" vm="18">
        <v>#VALUE!</v>
      </c>
      <c r="B147" s="63" t="str">
        <f>VLOOKUP($A147,Table1[],2,FALSE)</f>
        <v>Small Cap Senior</v>
      </c>
      <c r="C147" s="73">
        <f>VLOOKUP(Table20[[#This Row],[Company]],Table1[],33,FALSE)</f>
        <v>4.6800000000000001E-2</v>
      </c>
      <c r="E147" t="e" vm="18">
        <v>#VALUE!</v>
      </c>
      <c r="F147" s="64" t="str">
        <f>VLOOKUP($A147,Table1[],2,FALSE)</f>
        <v>Small Cap Senior</v>
      </c>
      <c r="G147" s="73">
        <f>VLOOKUP(Table22[[#This Row],[Company]],Table1[],35,FALSE)</f>
        <v>0.1055</v>
      </c>
    </row>
    <row r="148" spans="1:9" x14ac:dyDescent="0.25">
      <c r="A148" t="e" vm="23">
        <v>#VALUE!</v>
      </c>
      <c r="B148" s="64" t="str">
        <f>VLOOKUP($A148,Table1[],2,FALSE)</f>
        <v>Small Cap Senior</v>
      </c>
      <c r="C148" s="73">
        <f>VLOOKUP(Table20[[#This Row],[Company]],Table1[],33,FALSE)</f>
        <v>5.6899999999999999E-2</v>
      </c>
      <c r="E148" t="e" vm="23">
        <v>#VALUE!</v>
      </c>
      <c r="F148" s="64" t="str">
        <f>VLOOKUP($A148,Table1[],2,FALSE)</f>
        <v>Small Cap Senior</v>
      </c>
      <c r="G148" s="73">
        <f>VLOOKUP(Table22[[#This Row],[Company]],Table1[],35,FALSE)</f>
        <v>0.1111</v>
      </c>
    </row>
    <row r="149" spans="1:9" x14ac:dyDescent="0.25">
      <c r="A149" t="e" vm="15">
        <v>#VALUE!</v>
      </c>
      <c r="B149" s="63" t="str">
        <f>VLOOKUP($A149,Table1[],2,FALSE)</f>
        <v>Small Cap Junior</v>
      </c>
      <c r="C149" s="73">
        <f>VLOOKUP(Table20[[#This Row],[Company]],Table1[],33,FALSE)</f>
        <v>2.29E-2</v>
      </c>
      <c r="E149" t="e" vm="15">
        <v>#VALUE!</v>
      </c>
      <c r="F149" s="63" t="str">
        <f>VLOOKUP($A149,Table1[],2,FALSE)</f>
        <v>Small Cap Junior</v>
      </c>
      <c r="G149" s="73">
        <f>VLOOKUP(Table22[[#This Row],[Company]],Table1[],35,FALSE)</f>
        <v>5.6000000000000001E-2</v>
      </c>
    </row>
    <row r="150" spans="1:9" x14ac:dyDescent="0.25">
      <c r="A150" t="e" vm="27">
        <v>#VALUE!</v>
      </c>
      <c r="B150" s="64" t="str">
        <f>VLOOKUP($A150,Table1[],2,FALSE)</f>
        <v>Small Cap Junior</v>
      </c>
      <c r="C150" s="73">
        <f>VLOOKUP(Table20[[#This Row],[Company]],Table1[],33,FALSE)</f>
        <v>-3.0800000000000001E-2</v>
      </c>
      <c r="E150" t="e" vm="27">
        <v>#VALUE!</v>
      </c>
      <c r="F150" s="64" t="str">
        <f>VLOOKUP($A150,Table1[],2,FALSE)</f>
        <v>Small Cap Junior</v>
      </c>
      <c r="G150" s="73">
        <f>VLOOKUP(Table22[[#This Row],[Company]],Table1[],35,FALSE)</f>
        <v>-0.10199999999999999</v>
      </c>
    </row>
    <row r="151" spans="1:9" x14ac:dyDescent="0.25">
      <c r="A151" t="e" vm="9">
        <v>#VALUE!</v>
      </c>
      <c r="B151" s="63" t="str">
        <f>VLOOKUP($A151,Table1[],2,FALSE)</f>
        <v>Small Cap Junior</v>
      </c>
      <c r="C151" s="73">
        <f>VLOOKUP(Table20[[#This Row],[Company]],Table1[],33,FALSE)</f>
        <v>-0.49459999999999998</v>
      </c>
      <c r="E151" t="e" vm="9">
        <v>#VALUE!</v>
      </c>
      <c r="F151" s="63" t="str">
        <f>VLOOKUP($A151,Table1[],2,FALSE)</f>
        <v>Small Cap Junior</v>
      </c>
      <c r="G151" s="73">
        <f>VLOOKUP(Table22[[#This Row],[Company]],Table1[],35,FALSE)</f>
        <v>-1.2377</v>
      </c>
    </row>
    <row r="152" spans="1:9" x14ac:dyDescent="0.25">
      <c r="A152" t="e" vm="12">
        <v>#VALUE!</v>
      </c>
      <c r="B152" s="63" t="str">
        <f>VLOOKUP($A152,Table1[],2,FALSE)</f>
        <v>Small Cap Junior</v>
      </c>
      <c r="C152" s="73">
        <f>VLOOKUP(Table20[[#This Row],[Company]],Table1[],33,FALSE)</f>
        <v>0.2681</v>
      </c>
      <c r="E152" t="e" vm="12">
        <v>#VALUE!</v>
      </c>
      <c r="F152" s="64" t="str">
        <f>VLOOKUP($A152,Table1[],2,FALSE)</f>
        <v>Small Cap Junior</v>
      </c>
      <c r="G152" s="73">
        <f>VLOOKUP(Table22[[#This Row],[Company]],Table1[],35,FALSE)</f>
        <v>0.32</v>
      </c>
    </row>
    <row r="153" spans="1:9" x14ac:dyDescent="0.25">
      <c r="A153" t="e" vm="13">
        <v>#VALUE!</v>
      </c>
      <c r="B153" s="63" t="str">
        <f>VLOOKUP($A153,Table1[],2,FALSE)</f>
        <v>Small Cap Junior</v>
      </c>
      <c r="C153" s="73">
        <f>VLOOKUP(Table20[[#This Row],[Company]],Table1[],33,FALSE)</f>
        <v>-9.5699999999999993E-2</v>
      </c>
      <c r="E153" t="e" vm="13">
        <v>#VALUE!</v>
      </c>
      <c r="F153" s="63" t="str">
        <f>VLOOKUP($A153,Table1[],2,FALSE)</f>
        <v>Small Cap Junior</v>
      </c>
      <c r="G153" s="73">
        <f>VLOOKUP(Table22[[#This Row],[Company]],Table1[],35,FALSE)</f>
        <v>-0.51060000000000005</v>
      </c>
    </row>
    <row r="154" spans="1:9" x14ac:dyDescent="0.25">
      <c r="A154" t="e" vm="17">
        <v>#VALUE!</v>
      </c>
      <c r="B154" s="63" t="str">
        <f>VLOOKUP($A154,Table1[],2,FALSE)</f>
        <v>Small Cap Junior</v>
      </c>
      <c r="C154" s="73">
        <f>VLOOKUP(Table20[[#This Row],[Company]],Table1[],33,FALSE)</f>
        <v>-3.4000000000000002E-2</v>
      </c>
      <c r="E154" t="e" vm="17">
        <v>#VALUE!</v>
      </c>
      <c r="F154" s="63" t="str">
        <f>VLOOKUP($A154,Table1[],2,FALSE)</f>
        <v>Small Cap Junior</v>
      </c>
      <c r="G154" s="73">
        <f>VLOOKUP(Table22[[#This Row],[Company]],Table1[],35,FALSE)</f>
        <v>-0.1166</v>
      </c>
    </row>
    <row r="155" spans="1:9" x14ac:dyDescent="0.25">
      <c r="A155" t="e" vm="20">
        <v>#VALUE!</v>
      </c>
      <c r="B155" s="63" t="str">
        <f>VLOOKUP($A155,Table1[],2,FALSE)</f>
        <v>Small Cap Junior</v>
      </c>
      <c r="C155" s="73">
        <f>VLOOKUP(Table20[[#This Row],[Company]],Table1[],33,FALSE)</f>
        <v>-3.1600000000000003E-2</v>
      </c>
      <c r="E155" t="e" vm="20">
        <v>#VALUE!</v>
      </c>
      <c r="F155" s="64" t="str">
        <f>VLOOKUP($A155,Table1[],2,FALSE)</f>
        <v>Small Cap Junior</v>
      </c>
      <c r="G155" s="73">
        <f>VLOOKUP(Table22[[#This Row],[Company]],Table1[],35,FALSE)</f>
        <v>-9.4500000000000001E-2</v>
      </c>
    </row>
    <row r="156" spans="1:9" x14ac:dyDescent="0.25">
      <c r="A156" t="e" vm="11">
        <v>#VALUE!</v>
      </c>
      <c r="B156" s="64" t="str">
        <f>VLOOKUP($A156,Table1[],2,FALSE)</f>
        <v>Small Cap Junior</v>
      </c>
      <c r="C156" s="73">
        <f>VLOOKUP(Table20[[#This Row],[Company]],Table1[],33,FALSE)</f>
        <v>0</v>
      </c>
      <c r="E156" t="e" vm="11">
        <v>#VALUE!</v>
      </c>
      <c r="F156" s="63" t="str">
        <f>VLOOKUP($A156,Table1[],2,FALSE)</f>
        <v>Small Cap Junior</v>
      </c>
      <c r="G156" s="73">
        <f>VLOOKUP(Table22[[#This Row],[Company]],Table1[],35,FALSE)</f>
        <v>0</v>
      </c>
    </row>
    <row r="157" spans="1:9" x14ac:dyDescent="0.25">
      <c r="A157" t="e" vm="14">
        <v>#VALUE!</v>
      </c>
      <c r="B157" s="67" t="str">
        <f>VLOOKUP($A157,Table1[],2,FALSE)</f>
        <v>Small Cap Junior</v>
      </c>
      <c r="C157" s="73">
        <f>VLOOKUP(Table20[[#This Row],[Company]],Table1[],33,FALSE)</f>
        <v>0</v>
      </c>
      <c r="E157" t="e" vm="14">
        <v>#VALUE!</v>
      </c>
      <c r="F157" s="63" t="str">
        <f>VLOOKUP($A157,Table1[],2,FALSE)</f>
        <v>Small Cap Junior</v>
      </c>
      <c r="G157" s="73">
        <f>VLOOKUP(Table22[[#This Row],[Company]],Table1[],35,FALSE)</f>
        <v>0</v>
      </c>
    </row>
    <row r="158" spans="1:9" x14ac:dyDescent="0.25">
      <c r="A158" t="e" vm="10">
        <v>#VALUE!</v>
      </c>
      <c r="B158" s="67" t="str">
        <f>VLOOKUP($A158,Table1[],2,FALSE)</f>
        <v>Small Cap Junior</v>
      </c>
      <c r="C158" s="73">
        <f>VLOOKUP(Table20[[#This Row],[Company]],Table1[],33,FALSE)</f>
        <v>0.1653</v>
      </c>
      <c r="E158" t="e" vm="10">
        <v>#VALUE!</v>
      </c>
      <c r="F158" s="68" t="str">
        <f>VLOOKUP($A158,Table1[],2,FALSE)</f>
        <v>Small Cap Junior</v>
      </c>
      <c r="G158" s="73">
        <f>VLOOKUP(Table22[[#This Row],[Company]],Table1[],35,FALSE)</f>
        <v>0.24970000000000001</v>
      </c>
    </row>
    <row r="160" spans="1:9" ht="15.75" thickBot="1" x14ac:dyDescent="0.3">
      <c r="A160" s="65" t="s">
        <v>75</v>
      </c>
      <c r="B160" s="65" t="s">
        <v>95</v>
      </c>
      <c r="C160" s="72" t="s">
        <v>165</v>
      </c>
      <c r="D160" s="66" t="s">
        <v>79</v>
      </c>
      <c r="F160" s="65" t="s">
        <v>75</v>
      </c>
      <c r="G160" s="65" t="s">
        <v>95</v>
      </c>
      <c r="H160" s="72" t="s">
        <v>165</v>
      </c>
      <c r="I160" s="66" t="s">
        <v>84</v>
      </c>
    </row>
    <row r="161" spans="1:9" x14ac:dyDescent="0.25">
      <c r="A161" t="e" vm="37">
        <v>#VALUE!</v>
      </c>
      <c r="B161" s="64" t="str">
        <f>VLOOKUP($A161,Table1[],2,FALSE)</f>
        <v>Large Cap Senior</v>
      </c>
      <c r="C161" s="69">
        <f>VLOOKUP(Table23[[#This Row],[Company]],Table1[],4,FALSE)</f>
        <v>48281.46</v>
      </c>
      <c r="D161" s="69">
        <f>VLOOKUP(Table23[[#This Row],[Company]],Table1[],28,FALSE)</f>
        <v>12.766712570442197</v>
      </c>
      <c r="F161" t="e" vm="37">
        <v>#VALUE!</v>
      </c>
      <c r="G161" s="63" t="str">
        <f>VLOOKUP(Table24[[#This Row],[Company]],Table1[],2,FALSE)</f>
        <v>Large Cap Senior</v>
      </c>
      <c r="H161" s="69">
        <f>VLOOKUP(Table24[[#This Row],[Company]],Table1[],4,FALSE)</f>
        <v>48281.46</v>
      </c>
      <c r="I161" s="69">
        <f>VLOOKUP(Table24[[#This Row],[Company]],Table1[],29,FALSE)</f>
        <v>13.09</v>
      </c>
    </row>
    <row r="162" spans="1:9" x14ac:dyDescent="0.25">
      <c r="A162" t="e" vm="32">
        <v>#VALUE!</v>
      </c>
      <c r="B162" s="64" t="str">
        <f>VLOOKUP($A162,Table1[],2,FALSE)</f>
        <v>Large Cap Senior</v>
      </c>
      <c r="C162" s="69">
        <f>VLOOKUP(Table23[[#This Row],[Company]],Table1[],4,FALSE)</f>
        <v>15191.53</v>
      </c>
      <c r="D162" s="69">
        <f>VLOOKUP(Table23[[#This Row],[Company]],Table1[],28,FALSE)</f>
        <v>14.042986438096861</v>
      </c>
      <c r="F162" t="e" vm="32">
        <v>#VALUE!</v>
      </c>
      <c r="G162" s="63" t="str">
        <f>VLOOKUP(Table24[[#This Row],[Company]],Table1[],2,FALSE)</f>
        <v>Large Cap Senior</v>
      </c>
      <c r="H162" s="69">
        <f>VLOOKUP(Table24[[#This Row],[Company]],Table1[],4,FALSE)</f>
        <v>15191.53</v>
      </c>
      <c r="I162" s="69">
        <f>VLOOKUP(Table24[[#This Row],[Company]],Table1[],29,FALSE)</f>
        <v>18.649999999999999</v>
      </c>
    </row>
    <row r="163" spans="1:9" x14ac:dyDescent="0.25">
      <c r="A163" t="e" vm="33">
        <v>#VALUE!</v>
      </c>
      <c r="B163" s="63" t="str">
        <f>VLOOKUP($A163,Table1[],2,FALSE)</f>
        <v>Large Cap Senior</v>
      </c>
      <c r="C163" s="69">
        <f>VLOOKUP(Table23[[#This Row],[Company]],Table1[],4,FALSE)</f>
        <v>17240.53</v>
      </c>
      <c r="D163" s="69">
        <f>VLOOKUP(Table23[[#This Row],[Company]],Table1[],28,FALSE)</f>
        <v>16.248077138296431</v>
      </c>
      <c r="F163" t="e" vm="33">
        <v>#VALUE!</v>
      </c>
      <c r="G163" s="63" t="str">
        <f>VLOOKUP(Table24[[#This Row],[Company]],Table1[],2,FALSE)</f>
        <v>Large Cap Senior</v>
      </c>
      <c r="H163" s="69">
        <f>VLOOKUP(Table24[[#This Row],[Company]],Table1[],4,FALSE)</f>
        <v>17240.53</v>
      </c>
      <c r="I163" s="69">
        <f>VLOOKUP(Table24[[#This Row],[Company]],Table1[],29,FALSE)</f>
        <v>39.99</v>
      </c>
    </row>
    <row r="164" spans="1:9" x14ac:dyDescent="0.25">
      <c r="A164" t="e" vm="36">
        <v>#VALUE!</v>
      </c>
      <c r="B164" s="64" t="str">
        <f>VLOOKUP($A164,Table1[],2,FALSE)</f>
        <v>Large Cap Senior</v>
      </c>
      <c r="C164" s="69">
        <f>VLOOKUP(Table23[[#This Row],[Company]],Table1[],4,FALSE)</f>
        <v>59864.49</v>
      </c>
      <c r="D164" s="69">
        <f>VLOOKUP(Table23[[#This Row],[Company]],Table1[],28,FALSE)</f>
        <v>19.282823597622841</v>
      </c>
      <c r="F164" t="e" vm="36">
        <v>#VALUE!</v>
      </c>
      <c r="G164" s="63" t="str">
        <f>VLOOKUP(Table24[[#This Row],[Company]],Table1[],2,FALSE)</f>
        <v>Large Cap Senior</v>
      </c>
      <c r="H164" s="69">
        <f>VLOOKUP(Table24[[#This Row],[Company]],Table1[],4,FALSE)</f>
        <v>59864.49</v>
      </c>
      <c r="I164" s="69">
        <f>VLOOKUP(Table24[[#This Row],[Company]],Table1[],29,FALSE)</f>
        <v>41.03</v>
      </c>
    </row>
    <row r="165" spans="1:9" x14ac:dyDescent="0.25">
      <c r="A165" t="e" vm="26">
        <v>#VALUE!</v>
      </c>
      <c r="B165" s="64" t="str">
        <f>VLOOKUP($A165,Table1[],2,FALSE)</f>
        <v>Large Cap Senior</v>
      </c>
      <c r="C165" s="69">
        <f>VLOOKUP(Table23[[#This Row],[Company]],Table1[],4,FALSE)</f>
        <v>31893.98</v>
      </c>
      <c r="D165" s="69">
        <f>VLOOKUP(Table23[[#This Row],[Company]],Table1[],28,FALSE)</f>
        <v>46.221990108486843</v>
      </c>
      <c r="F165" t="e" vm="26">
        <v>#VALUE!</v>
      </c>
      <c r="G165" s="63" t="str">
        <f>VLOOKUP(Table24[[#This Row],[Company]],Table1[],2,FALSE)</f>
        <v>Large Cap Senior</v>
      </c>
      <c r="H165" s="69">
        <f>VLOOKUP(Table24[[#This Row],[Company]],Table1[],4,FALSE)</f>
        <v>31893.98</v>
      </c>
      <c r="I165" s="69">
        <f>VLOOKUP(Table24[[#This Row],[Company]],Table1[],29,FALSE)</f>
        <v>96.84</v>
      </c>
    </row>
    <row r="166" spans="1:9" x14ac:dyDescent="0.25">
      <c r="A166" t="e" vm="29">
        <v>#VALUE!</v>
      </c>
      <c r="B166" s="63" t="str">
        <f>VLOOKUP($A166,Table1[],2,FALSE)</f>
        <v>Mid Cap Senior</v>
      </c>
      <c r="C166" s="69">
        <f>VLOOKUP(Table23[[#This Row],[Company]],Table1[],4,FALSE)</f>
        <v>2859.0729999999999</v>
      </c>
      <c r="D166" s="69">
        <f>VLOOKUP(Table23[[#This Row],[Company]],Table1[],28,FALSE)</f>
        <v>4.9266114747484</v>
      </c>
      <c r="F166" t="e" vm="29">
        <v>#VALUE!</v>
      </c>
      <c r="G166" s="63" t="str">
        <f>VLOOKUP(Table24[[#This Row],[Company]],Table1[],2,FALSE)</f>
        <v>Mid Cap Senior</v>
      </c>
      <c r="H166" s="69">
        <f>VLOOKUP(Table24[[#This Row],[Company]],Table1[],4,FALSE)</f>
        <v>2859.0729999999999</v>
      </c>
      <c r="I166" s="69">
        <f>VLOOKUP(Table24[[#This Row],[Company]],Table1[],29,FALSE)</f>
        <v>20.81</v>
      </c>
    </row>
    <row r="167" spans="1:9" x14ac:dyDescent="0.25">
      <c r="A167" t="e" vm="35">
        <v>#VALUE!</v>
      </c>
      <c r="B167" s="63" t="str">
        <f>VLOOKUP($A167,Table1[],2,FALSE)</f>
        <v>Mid Cap Senior</v>
      </c>
      <c r="C167" s="69">
        <f>VLOOKUP(Table23[[#This Row],[Company]],Table1[],4,FALSE)</f>
        <v>8714.4380000000001</v>
      </c>
      <c r="D167" s="69">
        <f>VLOOKUP(Table23[[#This Row],[Company]],Table1[],28,FALSE)</f>
        <v>5.5346834746017688</v>
      </c>
      <c r="F167" t="e" vm="35">
        <v>#VALUE!</v>
      </c>
      <c r="G167" s="63" t="str">
        <f>VLOOKUP(Table24[[#This Row],[Company]],Table1[],2,FALSE)</f>
        <v>Mid Cap Senior</v>
      </c>
      <c r="H167" s="69">
        <f>VLOOKUP(Table24[[#This Row],[Company]],Table1[],4,FALSE)</f>
        <v>8714.4380000000001</v>
      </c>
      <c r="I167" s="69">
        <f>VLOOKUP(Table24[[#This Row],[Company]],Table1[],29,FALSE)</f>
        <v>43.8</v>
      </c>
    </row>
    <row r="168" spans="1:9" x14ac:dyDescent="0.25">
      <c r="A168" t="e" vm="34">
        <v>#VALUE!</v>
      </c>
      <c r="B168" s="64" t="str">
        <f>VLOOKUP($A168,Table1[],2,FALSE)</f>
        <v>Mid Cap Senior</v>
      </c>
      <c r="C168" s="69">
        <f>VLOOKUP(Table23[[#This Row],[Company]],Table1[],4,FALSE)</f>
        <v>10860.91</v>
      </c>
      <c r="D168" s="69">
        <f>VLOOKUP(Table23[[#This Row],[Company]],Table1[],28,FALSE)</f>
        <v>7.5940648196315976</v>
      </c>
      <c r="F168" t="e" vm="34">
        <v>#VALUE!</v>
      </c>
      <c r="G168" s="63" t="str">
        <f>VLOOKUP(Table24[[#This Row],[Company]],Table1[],2,FALSE)</f>
        <v>Mid Cap Senior</v>
      </c>
      <c r="H168" s="69">
        <f>VLOOKUP(Table24[[#This Row],[Company]],Table1[],4,FALSE)</f>
        <v>10860.91</v>
      </c>
      <c r="I168" s="69">
        <f>VLOOKUP(Table24[[#This Row],[Company]],Table1[],29,FALSE)</f>
        <v>34.49</v>
      </c>
    </row>
    <row r="169" spans="1:9" x14ac:dyDescent="0.25">
      <c r="A169" t="e" vm="31">
        <v>#VALUE!</v>
      </c>
      <c r="B169" s="64" t="str">
        <f>VLOOKUP($A169,Table1[],2,FALSE)</f>
        <v>Mid Cap Senior</v>
      </c>
      <c r="C169" s="69">
        <f>VLOOKUP(Table23[[#This Row],[Company]],Table1[],4,FALSE)</f>
        <v>6529.8580000000002</v>
      </c>
      <c r="D169" s="69">
        <f>VLOOKUP(Table23[[#This Row],[Company]],Table1[],28,FALSE)</f>
        <v>8.2974408795275281</v>
      </c>
      <c r="F169" t="e" vm="31">
        <v>#VALUE!</v>
      </c>
      <c r="G169" s="63" t="str">
        <f>VLOOKUP(Table24[[#This Row],[Company]],Table1[],2,FALSE)</f>
        <v>Mid Cap Senior</v>
      </c>
      <c r="H169" s="69">
        <f>VLOOKUP(Table24[[#This Row],[Company]],Table1[],4,FALSE)</f>
        <v>6529.8580000000002</v>
      </c>
      <c r="I169" s="69">
        <f>VLOOKUP(Table24[[#This Row],[Company]],Table1[],29,FALSE)</f>
        <v>398.85</v>
      </c>
    </row>
    <row r="170" spans="1:9" x14ac:dyDescent="0.25">
      <c r="A170" t="e" vm="30">
        <v>#VALUE!</v>
      </c>
      <c r="B170" s="64" t="str">
        <f>VLOOKUP($A170,Table1[],2,FALSE)</f>
        <v>Mid Cap Senior</v>
      </c>
      <c r="C170" s="69">
        <f>VLOOKUP(Table23[[#This Row],[Company]],Table1[],4,FALSE)</f>
        <v>5471.223</v>
      </c>
      <c r="D170" s="69">
        <f>VLOOKUP(Table23[[#This Row],[Company]],Table1[],28,FALSE)</f>
        <v>9.7484395738086782</v>
      </c>
      <c r="F170" t="e" vm="30">
        <v>#VALUE!</v>
      </c>
      <c r="G170" s="63" t="str">
        <f>VLOOKUP(Table24[[#This Row],[Company]],Table1[],2,FALSE)</f>
        <v>Mid Cap Senior</v>
      </c>
      <c r="H170" s="69">
        <f>VLOOKUP(Table24[[#This Row],[Company]],Table1[],4,FALSE)</f>
        <v>5471.223</v>
      </c>
      <c r="I170" s="69">
        <f>VLOOKUP(Table24[[#This Row],[Company]],Table1[],29,FALSE)</f>
        <v>24.59</v>
      </c>
    </row>
    <row r="171" spans="1:9" x14ac:dyDescent="0.25">
      <c r="A171" t="e" vm="19">
        <v>#VALUE!</v>
      </c>
      <c r="B171" s="63" t="str">
        <f>VLOOKUP($A171,Table1[],2,FALSE)</f>
        <v>Mid Cap Senior</v>
      </c>
      <c r="C171" s="69">
        <f>VLOOKUP(Table23[[#This Row],[Company]],Table1[],4,FALSE)</f>
        <v>2039.2380000000001</v>
      </c>
      <c r="D171" s="69">
        <f>VLOOKUP(Table23[[#This Row],[Company]],Table1[],28,FALSE)</f>
        <v>10.175130024631518</v>
      </c>
      <c r="F171" t="e" vm="19">
        <v>#VALUE!</v>
      </c>
      <c r="G171" s="63" t="str">
        <f>VLOOKUP(Table24[[#This Row],[Company]],Table1[],2,FALSE)</f>
        <v>Mid Cap Senior</v>
      </c>
      <c r="H171" s="69">
        <f>VLOOKUP(Table24[[#This Row],[Company]],Table1[],4,FALSE)</f>
        <v>2039.2380000000001</v>
      </c>
      <c r="I171" s="69">
        <f>VLOOKUP(Table24[[#This Row],[Company]],Table1[],29,FALSE)</f>
        <v>92.18</v>
      </c>
    </row>
    <row r="172" spans="1:9" x14ac:dyDescent="0.25">
      <c r="A172" t="e" vm="22">
        <v>#VALUE!</v>
      </c>
      <c r="B172" s="63" t="str">
        <f>VLOOKUP($A172,Table1[],2,FALSE)</f>
        <v>Mid Cap Senior</v>
      </c>
      <c r="C172" s="69">
        <f>VLOOKUP(Table23[[#This Row],[Company]],Table1[],4,FALSE)</f>
        <v>3750.355</v>
      </c>
      <c r="D172" s="69">
        <f>VLOOKUP(Table23[[#This Row],[Company]],Table1[],28,FALSE)</f>
        <v>16.025107042923349</v>
      </c>
      <c r="F172" t="e" vm="22">
        <v>#VALUE!</v>
      </c>
      <c r="G172" s="63" t="str">
        <f>VLOOKUP(Table24[[#This Row],[Company]],Table1[],2,FALSE)</f>
        <v>Mid Cap Senior</v>
      </c>
      <c r="H172" s="69">
        <f>VLOOKUP(Table24[[#This Row],[Company]],Table1[],4,FALSE)</f>
        <v>3750.355</v>
      </c>
      <c r="I172" s="69">
        <f>VLOOKUP(Table24[[#This Row],[Company]],Table1[],29,FALSE)</f>
        <v>31.32</v>
      </c>
    </row>
    <row r="173" spans="1:9" x14ac:dyDescent="0.25">
      <c r="A173" t="e" vm="24">
        <v>#VALUE!</v>
      </c>
      <c r="B173" s="63" t="str">
        <f>VLOOKUP($A173,Table1[],2,FALSE)</f>
        <v>Small Cap Senior</v>
      </c>
      <c r="C173" s="69">
        <f>VLOOKUP(Table23[[#This Row],[Company]],Table1[],4,FALSE)</f>
        <v>1583.9780000000001</v>
      </c>
      <c r="D173" s="69">
        <f>VLOOKUP(Table23[[#This Row],[Company]],Table1[],28,FALSE)</f>
        <v>4.4970278463295399</v>
      </c>
      <c r="F173" t="e" vm="24">
        <v>#VALUE!</v>
      </c>
      <c r="G173" s="63" t="str">
        <f>VLOOKUP(Table24[[#This Row],[Company]],Table1[],2,FALSE)</f>
        <v>Small Cap Senior</v>
      </c>
      <c r="H173" s="69">
        <f>VLOOKUP(Table24[[#This Row],[Company]],Table1[],4,FALSE)</f>
        <v>1583.9780000000001</v>
      </c>
      <c r="I173" s="69">
        <f>VLOOKUP(Table24[[#This Row],[Company]],Table1[],29,FALSE)</f>
        <v>35.33</v>
      </c>
    </row>
    <row r="174" spans="1:9" x14ac:dyDescent="0.25">
      <c r="A174" t="e" vm="25">
        <v>#VALUE!</v>
      </c>
      <c r="B174" s="63" t="str">
        <f>VLOOKUP($A174,Table1[],2,FALSE)</f>
        <v>Small Cap Senior</v>
      </c>
      <c r="C174" s="69">
        <f>VLOOKUP(Table23[[#This Row],[Company]],Table1[],4,FALSE)</f>
        <v>1990.627</v>
      </c>
      <c r="D174" s="69">
        <f>VLOOKUP(Table23[[#This Row],[Company]],Table1[],28,FALSE)</f>
        <v>5.5875390530869353</v>
      </c>
      <c r="F174" t="e" vm="25">
        <v>#VALUE!</v>
      </c>
      <c r="G174" s="63" t="str">
        <f>VLOOKUP(Table24[[#This Row],[Company]],Table1[],2,FALSE)</f>
        <v>Small Cap Senior</v>
      </c>
      <c r="H174" s="69">
        <f>VLOOKUP(Table24[[#This Row],[Company]],Table1[],4,FALSE)</f>
        <v>1990.627</v>
      </c>
      <c r="I174" s="69">
        <f>VLOOKUP(Table24[[#This Row],[Company]],Table1[],29,FALSE)</f>
        <v>20.450980392156861</v>
      </c>
    </row>
    <row r="175" spans="1:9" x14ac:dyDescent="0.25">
      <c r="A175" t="e" vm="28">
        <v>#VALUE!</v>
      </c>
      <c r="B175" s="63" t="str">
        <f>VLOOKUP($A175,Table1[],2,FALSE)</f>
        <v>Small Cap Senior</v>
      </c>
      <c r="C175" s="69">
        <f>VLOOKUP(Table23[[#This Row],[Company]],Table1[],4,FALSE)</f>
        <v>2010.328</v>
      </c>
      <c r="D175" s="69">
        <f>VLOOKUP(Table23[[#This Row],[Company]],Table1[],28,FALSE)</f>
        <v>6.2458868535590915</v>
      </c>
      <c r="F175" t="e" vm="28">
        <v>#VALUE!</v>
      </c>
      <c r="G175" s="63" t="str">
        <f>VLOOKUP(Table24[[#This Row],[Company]],Table1[],2,FALSE)</f>
        <v>Small Cap Senior</v>
      </c>
      <c r="H175" s="69">
        <f>VLOOKUP(Table24[[#This Row],[Company]],Table1[],4,FALSE)</f>
        <v>2010.328</v>
      </c>
      <c r="I175" s="69">
        <f>VLOOKUP(Table24[[#This Row],[Company]],Table1[],29,FALSE)</f>
        <v>-5.5113636363636358</v>
      </c>
    </row>
    <row r="176" spans="1:9" x14ac:dyDescent="0.25">
      <c r="A176" t="e" vm="16">
        <v>#VALUE!</v>
      </c>
      <c r="B176" s="64" t="str">
        <f>VLOOKUP($A176,Table1[],2,FALSE)</f>
        <v>Small Cap Senior</v>
      </c>
      <c r="C176" s="69">
        <f>VLOOKUP(Table23[[#This Row],[Company]],Table1[],4,FALSE)</f>
        <v>2138.19</v>
      </c>
      <c r="D176" s="69">
        <f>VLOOKUP(Table23[[#This Row],[Company]],Table1[],28,FALSE)</f>
        <v>8.0816086792846473</v>
      </c>
      <c r="F176" t="e" vm="16">
        <v>#VALUE!</v>
      </c>
      <c r="G176" s="63" t="str">
        <f>VLOOKUP(Table24[[#This Row],[Company]],Table1[],2,FALSE)</f>
        <v>Small Cap Senior</v>
      </c>
      <c r="H176" s="69">
        <f>VLOOKUP(Table24[[#This Row],[Company]],Table1[],4,FALSE)</f>
        <v>2138.19</v>
      </c>
      <c r="I176" s="69">
        <f>VLOOKUP(Table24[[#This Row],[Company]],Table1[],29,FALSE)</f>
        <v>0</v>
      </c>
    </row>
    <row r="177" spans="1:9" x14ac:dyDescent="0.25">
      <c r="A177" t="e" vm="21">
        <v>#VALUE!</v>
      </c>
      <c r="B177" s="64" t="str">
        <f>VLOOKUP($A177,Table1[],2,FALSE)</f>
        <v>Small Cap Senior</v>
      </c>
      <c r="C177" s="69">
        <f>VLOOKUP(Table23[[#This Row],[Company]],Table1[],4,FALSE)</f>
        <v>1932.4259999999999</v>
      </c>
      <c r="D177" s="69">
        <f>VLOOKUP(Table23[[#This Row],[Company]],Table1[],28,FALSE)</f>
        <v>9.4942362988502058</v>
      </c>
      <c r="F177" t="e" vm="21">
        <v>#VALUE!</v>
      </c>
      <c r="G177" s="63" t="str">
        <f>VLOOKUP(Table24[[#This Row],[Company]],Table1[],2,FALSE)</f>
        <v>Small Cap Senior</v>
      </c>
      <c r="H177" s="69">
        <f>VLOOKUP(Table24[[#This Row],[Company]],Table1[],4,FALSE)</f>
        <v>1932.4259999999999</v>
      </c>
      <c r="I177" s="69">
        <f>VLOOKUP(Table24[[#This Row],[Company]],Table1[],29,FALSE)</f>
        <v>68.319999999999993</v>
      </c>
    </row>
    <row r="178" spans="1:9" x14ac:dyDescent="0.25">
      <c r="A178" t="e" vm="18">
        <v>#VALUE!</v>
      </c>
      <c r="B178" s="64" t="str">
        <f>VLOOKUP($A178,Table1[],2,FALSE)</f>
        <v>Small Cap Senior</v>
      </c>
      <c r="C178" s="69">
        <f>VLOOKUP(Table23[[#This Row],[Company]],Table1[],4,FALSE)</f>
        <v>1179.777</v>
      </c>
      <c r="D178" s="69">
        <f>VLOOKUP(Table23[[#This Row],[Company]],Table1[],28,FALSE)</f>
        <v>5.5163960277246602</v>
      </c>
      <c r="F178" t="e" vm="18">
        <v>#VALUE!</v>
      </c>
      <c r="G178" s="63" t="str">
        <f>VLOOKUP(Table24[[#This Row],[Company]],Table1[],2,FALSE)</f>
        <v>Small Cap Senior</v>
      </c>
      <c r="H178" s="69">
        <f>VLOOKUP(Table24[[#This Row],[Company]],Table1[],4,FALSE)</f>
        <v>1179.777</v>
      </c>
      <c r="I178" s="69">
        <f>VLOOKUP(Table24[[#This Row],[Company]],Table1[],29,FALSE)</f>
        <v>13.78</v>
      </c>
    </row>
    <row r="179" spans="1:9" x14ac:dyDescent="0.25">
      <c r="A179" t="e" vm="23">
        <v>#VALUE!</v>
      </c>
      <c r="B179" s="64" t="str">
        <f>VLOOKUP($A179,Table1[],2,FALSE)</f>
        <v>Small Cap Senior</v>
      </c>
      <c r="C179" s="69">
        <f>VLOOKUP(Table23[[#This Row],[Company]],Table1[],4,FALSE)</f>
        <v>1291.5509999999999</v>
      </c>
      <c r="D179" s="69">
        <f>VLOOKUP(Table23[[#This Row],[Company]],Table1[],28,FALSE)</f>
        <v>4.5133955014598488</v>
      </c>
      <c r="F179" t="e" vm="23">
        <v>#VALUE!</v>
      </c>
      <c r="G179" s="63" t="str">
        <f>VLOOKUP(Table24[[#This Row],[Company]],Table1[],2,FALSE)</f>
        <v>Small Cap Senior</v>
      </c>
      <c r="H179" s="69">
        <f>VLOOKUP(Table24[[#This Row],[Company]],Table1[],4,FALSE)</f>
        <v>1291.5509999999999</v>
      </c>
      <c r="I179" s="69">
        <f>VLOOKUP(Table24[[#This Row],[Company]],Table1[],29,FALSE)</f>
        <v>36.53</v>
      </c>
    </row>
    <row r="180" spans="1:9" x14ac:dyDescent="0.25">
      <c r="A180" t="e" vm="15">
        <v>#VALUE!</v>
      </c>
      <c r="B180" s="64" t="str">
        <f>VLOOKUP($A180,Table1[],2,FALSE)</f>
        <v>Small Cap Junior</v>
      </c>
      <c r="C180" s="69">
        <f>VLOOKUP(Table23[[#This Row],[Company]],Table1[],4,FALSE)</f>
        <v>1104.8869999999999</v>
      </c>
      <c r="D180" s="69">
        <f>VLOOKUP(Table23[[#This Row],[Company]],Table1[],28,FALSE)</f>
        <v>4.7669779368601182</v>
      </c>
      <c r="F180" t="e" vm="15">
        <v>#VALUE!</v>
      </c>
      <c r="G180" s="63" t="str">
        <f>VLOOKUP(Table24[[#This Row],[Company]],Table1[],2,FALSE)</f>
        <v>Small Cap Junior</v>
      </c>
      <c r="H180" s="69">
        <f>VLOOKUP(Table24[[#This Row],[Company]],Table1[],4,FALSE)</f>
        <v>1104.8869999999999</v>
      </c>
      <c r="I180" s="69">
        <f>VLOOKUP(Table24[[#This Row],[Company]],Table1[],29,FALSE)</f>
        <v>38.83</v>
      </c>
    </row>
    <row r="181" spans="1:9" x14ac:dyDescent="0.25">
      <c r="A181" t="e" vm="27">
        <v>#VALUE!</v>
      </c>
      <c r="B181" s="63" t="str">
        <f>VLOOKUP($A181,Table1[],2,FALSE)</f>
        <v>Small Cap Junior</v>
      </c>
      <c r="C181" s="69">
        <f>VLOOKUP(Table23[[#This Row],[Company]],Table1[],4,FALSE)</f>
        <v>2256.4760000000001</v>
      </c>
      <c r="D181" s="69">
        <f>VLOOKUP(Table23[[#This Row],[Company]],Table1[],28,FALSE)</f>
        <v>5.6962010617538876</v>
      </c>
      <c r="F181" t="e" vm="27">
        <v>#VALUE!</v>
      </c>
      <c r="G181" s="63" t="str">
        <f>VLOOKUP(Table24[[#This Row],[Company]],Table1[],2,FALSE)</f>
        <v>Small Cap Junior</v>
      </c>
      <c r="H181" s="69">
        <f>VLOOKUP(Table24[[#This Row],[Company]],Table1[],4,FALSE)</f>
        <v>2256.4760000000001</v>
      </c>
      <c r="I181" s="69">
        <f>VLOOKUP(Table24[[#This Row],[Company]],Table1[],29,FALSE)</f>
        <v>-18.163636363636364</v>
      </c>
    </row>
    <row r="182" spans="1:9" x14ac:dyDescent="0.25">
      <c r="A182" t="e" vm="9">
        <v>#VALUE!</v>
      </c>
      <c r="B182" s="63" t="str">
        <f>VLOOKUP($A182,Table1[],2,FALSE)</f>
        <v>Small Cap Junior</v>
      </c>
      <c r="C182" s="69">
        <f>VLOOKUP(Table23[[#This Row],[Company]],Table1[],4,FALSE)</f>
        <v>97.313829999999996</v>
      </c>
      <c r="D182" s="69">
        <f>VLOOKUP(Table23[[#This Row],[Company]],Table1[],28,FALSE)</f>
        <v>634.17289019222972</v>
      </c>
      <c r="F182" t="e" vm="9">
        <v>#VALUE!</v>
      </c>
      <c r="G182" s="63" t="str">
        <f>VLOOKUP(Table24[[#This Row],[Company]],Table1[],2,FALSE)</f>
        <v>Small Cap Junior</v>
      </c>
      <c r="H182" s="69">
        <f>VLOOKUP(Table24[[#This Row],[Company]],Table1[],4,FALSE)</f>
        <v>97.313829999999996</v>
      </c>
      <c r="I182" s="69">
        <f>VLOOKUP(Table24[[#This Row],[Company]],Table1[],29,FALSE)</f>
        <v>-1.4999999999999998</v>
      </c>
    </row>
    <row r="183" spans="1:9" x14ac:dyDescent="0.25">
      <c r="A183" t="e" vm="12">
        <v>#VALUE!</v>
      </c>
      <c r="B183" s="63" t="str">
        <f>VLOOKUP($A183,Table1[],2,FALSE)</f>
        <v>Small Cap Junior</v>
      </c>
      <c r="C183" s="69">
        <f>VLOOKUP(Table23[[#This Row],[Company]],Table1[],4,FALSE)</f>
        <v>857.61599999999999</v>
      </c>
      <c r="D183" s="69">
        <f>VLOOKUP(Table23[[#This Row],[Company]],Table1[],28,FALSE)</f>
        <v>9.1401385382978617</v>
      </c>
      <c r="F183" t="e" vm="12">
        <v>#VALUE!</v>
      </c>
      <c r="G183" s="63" t="str">
        <f>VLOOKUP(Table24[[#This Row],[Company]],Table1[],2,FALSE)</f>
        <v>Small Cap Junior</v>
      </c>
      <c r="H183" s="69">
        <f>VLOOKUP(Table24[[#This Row],[Company]],Table1[],4,FALSE)</f>
        <v>857.61599999999999</v>
      </c>
      <c r="I183" s="69">
        <f>VLOOKUP(Table24[[#This Row],[Company]],Table1[],29,FALSE)</f>
        <v>9.19</v>
      </c>
    </row>
    <row r="184" spans="1:9" x14ac:dyDescent="0.25">
      <c r="A184" t="e" vm="13">
        <v>#VALUE!</v>
      </c>
      <c r="B184" s="64" t="str">
        <f>VLOOKUP($A184,Table1[],2,FALSE)</f>
        <v>Small Cap Junior</v>
      </c>
      <c r="C184" s="69">
        <f>VLOOKUP(Table23[[#This Row],[Company]],Table1[],4,FALSE)</f>
        <v>378.41660000000002</v>
      </c>
      <c r="D184" s="69">
        <f>VLOOKUP(Table23[[#This Row],[Company]],Table1[],28,FALSE)</f>
        <v>4.7084617636235642</v>
      </c>
      <c r="F184" t="e" vm="13">
        <v>#VALUE!</v>
      </c>
      <c r="G184" s="63" t="str">
        <f>VLOOKUP(Table24[[#This Row],[Company]],Table1[],2,FALSE)</f>
        <v>Small Cap Junior</v>
      </c>
      <c r="H184" s="69">
        <f>VLOOKUP(Table24[[#This Row],[Company]],Table1[],4,FALSE)</f>
        <v>378.41660000000002</v>
      </c>
      <c r="I184" s="69">
        <f>VLOOKUP(Table24[[#This Row],[Company]],Table1[],29,FALSE)</f>
        <v>-9.7647058823529402</v>
      </c>
    </row>
    <row r="185" spans="1:9" x14ac:dyDescent="0.25">
      <c r="A185" t="e" vm="17">
        <v>#VALUE!</v>
      </c>
      <c r="B185" s="64" t="str">
        <f>VLOOKUP($A185,Table1[],2,FALSE)</f>
        <v>Small Cap Junior</v>
      </c>
      <c r="C185" s="69">
        <f>VLOOKUP(Table23[[#This Row],[Company]],Table1[],4,FALSE)</f>
        <v>673.53470000000004</v>
      </c>
      <c r="D185" s="69">
        <f>VLOOKUP(Table23[[#This Row],[Company]],Table1[],28,FALSE)</f>
        <v>7.7578632432313803</v>
      </c>
      <c r="F185" t="e" vm="17">
        <v>#VALUE!</v>
      </c>
      <c r="G185" s="63" t="str">
        <f>VLOOKUP(Table24[[#This Row],[Company]],Table1[],2,FALSE)</f>
        <v>Small Cap Junior</v>
      </c>
      <c r="H185" s="69">
        <f>VLOOKUP(Table24[[#This Row],[Company]],Table1[],4,FALSE)</f>
        <v>673.53470000000004</v>
      </c>
      <c r="I185" s="69">
        <f>VLOOKUP(Table24[[#This Row],[Company]],Table1[],29,FALSE)</f>
        <v>-9.5833333333333321</v>
      </c>
    </row>
    <row r="186" spans="1:9" x14ac:dyDescent="0.25">
      <c r="A186" t="e" vm="20">
        <v>#VALUE!</v>
      </c>
      <c r="B186" s="63" t="str">
        <f>VLOOKUP($A186,Table1[],2,FALSE)</f>
        <v>Small Cap Junior</v>
      </c>
      <c r="C186" s="69">
        <f>VLOOKUP(Table23[[#This Row],[Company]],Table1[],4,FALSE)</f>
        <v>1587.5340000000001</v>
      </c>
      <c r="D186" s="69">
        <f>VLOOKUP(Table23[[#This Row],[Company]],Table1[],28,FALSE)</f>
        <v>8.5838864301800264</v>
      </c>
      <c r="F186" t="e" vm="20">
        <v>#VALUE!</v>
      </c>
      <c r="G186" s="63" t="str">
        <f>VLOOKUP(Table24[[#This Row],[Company]],Table1[],2,FALSE)</f>
        <v>Small Cap Junior</v>
      </c>
      <c r="H186" s="69">
        <f>VLOOKUP(Table24[[#This Row],[Company]],Table1[],4,FALSE)</f>
        <v>1587.5340000000001</v>
      </c>
      <c r="I186" s="69">
        <f>VLOOKUP(Table24[[#This Row],[Company]],Table1[],29,FALSE)</f>
        <v>-22.64516129032258</v>
      </c>
    </row>
    <row r="187" spans="1:9" x14ac:dyDescent="0.25">
      <c r="A187" t="e" vm="11">
        <v>#VALUE!</v>
      </c>
      <c r="B187" s="63" t="str">
        <f>VLOOKUP($A187,Table1[],2,FALSE)</f>
        <v>Small Cap Junior</v>
      </c>
      <c r="C187" s="69">
        <f>VLOOKUP(Table23[[#This Row],[Company]],Table1[],4,FALSE)</f>
        <v>126.8386</v>
      </c>
      <c r="D187" s="69">
        <f>VLOOKUP(Table23[[#This Row],[Company]],Table1[],28,FALSE)</f>
        <v>2.3943572132326807</v>
      </c>
      <c r="F187" t="e" vm="11">
        <v>#VALUE!</v>
      </c>
      <c r="G187" s="63" t="str">
        <f>VLOOKUP(Table24[[#This Row],[Company]],Table1[],2,FALSE)</f>
        <v>Small Cap Junior</v>
      </c>
      <c r="H187" s="69">
        <f>VLOOKUP(Table24[[#This Row],[Company]],Table1[],4,FALSE)</f>
        <v>126.8386</v>
      </c>
      <c r="I187" s="69">
        <f>VLOOKUP(Table24[[#This Row],[Company]],Table1[],29,FALSE)</f>
        <v>0</v>
      </c>
    </row>
    <row r="188" spans="1:9" x14ac:dyDescent="0.25">
      <c r="A188" t="e" vm="14">
        <v>#VALUE!</v>
      </c>
      <c r="B188" s="68" t="str">
        <f>VLOOKUP($A188,Table1[],2,FALSE)</f>
        <v>Small Cap Junior</v>
      </c>
      <c r="C188" s="69">
        <f>VLOOKUP(Table23[[#This Row],[Company]],Table1[],4,FALSE)</f>
        <v>469.94389999999999</v>
      </c>
      <c r="D188" s="69">
        <f>VLOOKUP(Table23[[#This Row],[Company]],Table1[],28,FALSE)</f>
        <v>2.9217898907679687</v>
      </c>
      <c r="F188" t="e" vm="14">
        <v>#VALUE!</v>
      </c>
      <c r="G188" s="63" t="str">
        <f>VLOOKUP(Table24[[#This Row],[Company]],Table1[],2,FALSE)</f>
        <v>Small Cap Junior</v>
      </c>
      <c r="H188" s="69">
        <f>VLOOKUP(Table24[[#This Row],[Company]],Table1[],4,FALSE)</f>
        <v>469.94389999999999</v>
      </c>
      <c r="I188" s="69">
        <f>VLOOKUP(Table24[[#This Row],[Company]],Table1[],29,FALSE)</f>
        <v>0</v>
      </c>
    </row>
    <row r="189" spans="1:9" x14ac:dyDescent="0.25">
      <c r="A189" t="e" vm="10">
        <v>#VALUE!</v>
      </c>
      <c r="B189" s="68" t="str">
        <f>VLOOKUP($A189,Table1[],2,FALSE)</f>
        <v>Small Cap Junior</v>
      </c>
      <c r="C189" s="69">
        <f>VLOOKUP(Table23[[#This Row],[Company]],Table1[],4,FALSE)</f>
        <v>1348.1859999999999</v>
      </c>
      <c r="D189" s="69">
        <f>VLOOKUP(Table23[[#This Row],[Company]],Table1[],28,FALSE)</f>
        <v>56.559848467368241</v>
      </c>
      <c r="F189" t="e" vm="10">
        <v>#VALUE!</v>
      </c>
      <c r="G189" s="63" t="str">
        <f>VLOOKUP(Table24[[#This Row],[Company]],Table1[],2,FALSE)</f>
        <v>Small Cap Junior</v>
      </c>
      <c r="H189" s="69">
        <f>VLOOKUP(Table24[[#This Row],[Company]],Table1[],4,FALSE)</f>
        <v>1348.1859999999999</v>
      </c>
      <c r="I189" s="69">
        <f>VLOOKUP(Table24[[#This Row],[Company]],Table1[],29,FALSE)</f>
        <v>44.22</v>
      </c>
    </row>
    <row r="192" spans="1:9" x14ac:dyDescent="0.25">
      <c r="A192" s="65" t="s">
        <v>75</v>
      </c>
      <c r="B192" s="65" t="s">
        <v>95</v>
      </c>
      <c r="C192" s="65" t="s">
        <v>264</v>
      </c>
      <c r="E192" s="65" t="s">
        <v>75</v>
      </c>
      <c r="F192" s="65" t="s">
        <v>95</v>
      </c>
      <c r="G192" s="65" t="s">
        <v>265</v>
      </c>
    </row>
    <row r="193" spans="1:7" x14ac:dyDescent="0.25">
      <c r="A193" t="e" vm="37">
        <v>#VALUE!</v>
      </c>
      <c r="B193" s="63" t="str">
        <f>VLOOKUP($A193,Table1[],2,FALSE)</f>
        <v>Large Cap Senior</v>
      </c>
      <c r="C193" s="63">
        <f>VLOOKUP(Table28[[#This Row],[Company]],Table2[],38,FALSE)</f>
        <v>76.067219167321298</v>
      </c>
      <c r="E193" t="e" vm="37">
        <v>#VALUE!</v>
      </c>
      <c r="F193" s="63" t="str">
        <f>VLOOKUP(Table29[[#This Row],[Company]],Table1[],2,FALSE)</f>
        <v>Large Cap Senior</v>
      </c>
      <c r="G193" s="79">
        <f>VLOOKUP(Table29[[#This Row],[Company]],Table1[],24,FALSE)</f>
        <v>65.400000000000006</v>
      </c>
    </row>
    <row r="194" spans="1:7" x14ac:dyDescent="0.25">
      <c r="A194" t="e" vm="32">
        <v>#VALUE!</v>
      </c>
      <c r="B194" s="63" t="str">
        <f>VLOOKUP($A194,Table1[],2,FALSE)</f>
        <v>Large Cap Senior</v>
      </c>
      <c r="C194" s="63">
        <f>VLOOKUP(Table28[[#This Row],[Company]],Table2[],38,FALSE)</f>
        <v>70.416270400711241</v>
      </c>
      <c r="E194" t="e" vm="32">
        <v>#VALUE!</v>
      </c>
      <c r="F194" s="63" t="str">
        <f>VLOOKUP(Table29[[#This Row],[Company]],Table1[],2,FALSE)</f>
        <v>Large Cap Senior</v>
      </c>
      <c r="G194" s="79">
        <f>VLOOKUP(Table29[[#This Row],[Company]],Table1[],24,FALSE)</f>
        <v>20.47</v>
      </c>
    </row>
    <row r="195" spans="1:7" x14ac:dyDescent="0.25">
      <c r="A195" t="e" vm="33">
        <v>#VALUE!</v>
      </c>
      <c r="B195" s="63" t="str">
        <f>VLOOKUP($A195,Table1[],2,FALSE)</f>
        <v>Large Cap Senior</v>
      </c>
      <c r="C195" s="63">
        <f>VLOOKUP(Table28[[#This Row],[Company]],Table2[],38,FALSE)</f>
        <v>74.853145400593462</v>
      </c>
      <c r="E195" t="e" vm="33">
        <v>#VALUE!</v>
      </c>
      <c r="F195" s="63" t="str">
        <f>VLOOKUP(Table29[[#This Row],[Company]],Table1[],2,FALSE)</f>
        <v>Large Cap Senior</v>
      </c>
      <c r="G195" s="79">
        <f>VLOOKUP(Table29[[#This Row],[Company]],Table1[],24,FALSE)</f>
        <v>21.585000000000001</v>
      </c>
    </row>
    <row r="196" spans="1:7" x14ac:dyDescent="0.25">
      <c r="A196" t="e" vm="36">
        <v>#VALUE!</v>
      </c>
      <c r="B196" s="63" t="str">
        <f>VLOOKUP($A196,Table1[],2,FALSE)</f>
        <v>Large Cap Senior</v>
      </c>
      <c r="C196" s="63">
        <f>VLOOKUP(Table28[[#This Row],[Company]],Table2[],38,FALSE)</f>
        <v>58.549534820824881</v>
      </c>
      <c r="E196" t="e" vm="36">
        <v>#VALUE!</v>
      </c>
      <c r="F196" s="63" t="str">
        <f>VLOOKUP(Table29[[#This Row],[Company]],Table1[],2,FALSE)</f>
        <v>Large Cap Senior</v>
      </c>
      <c r="G196" s="79">
        <f>VLOOKUP(Table29[[#This Row],[Company]],Table1[],24,FALSE)</f>
        <v>71</v>
      </c>
    </row>
    <row r="197" spans="1:7" x14ac:dyDescent="0.25">
      <c r="A197" t="e" vm="26">
        <v>#VALUE!</v>
      </c>
      <c r="B197" s="63" t="str">
        <f>VLOOKUP($A197,Table1[],2,FALSE)</f>
        <v>Large Cap Senior</v>
      </c>
      <c r="C197" s="63">
        <f>VLOOKUP(Table28[[#This Row],[Company]],Table2[],38,FALSE)</f>
        <v>71.8</v>
      </c>
      <c r="E197" t="e" vm="26">
        <v>#VALUE!</v>
      </c>
      <c r="F197" s="63" t="str">
        <f>VLOOKUP(Table29[[#This Row],[Company]],Table1[],2,FALSE)</f>
        <v>Large Cap Senior</v>
      </c>
      <c r="G197" s="79">
        <f>VLOOKUP(Table29[[#This Row],[Company]],Table1[],24,FALSE)</f>
        <v>0</v>
      </c>
    </row>
    <row r="198" spans="1:7" x14ac:dyDescent="0.25">
      <c r="A198" t="e" vm="29">
        <v>#VALUE!</v>
      </c>
      <c r="B198" s="63" t="str">
        <f>VLOOKUP($A198,Table1[],2,FALSE)</f>
        <v>Mid Cap Senior</v>
      </c>
      <c r="C198" s="63">
        <f>VLOOKUP(Table28[[#This Row],[Company]],Table2[],38,FALSE)</f>
        <v>73.357142857142861</v>
      </c>
      <c r="E198" t="e" vm="29">
        <v>#VALUE!</v>
      </c>
      <c r="F198" s="63" t="str">
        <f>VLOOKUP(Table29[[#This Row],[Company]],Table1[],2,FALSE)</f>
        <v>Mid Cap Senior</v>
      </c>
      <c r="G198" s="79">
        <f>VLOOKUP(Table29[[#This Row],[Company]],Table1[],24,FALSE)</f>
        <v>11.086</v>
      </c>
    </row>
    <row r="199" spans="1:7" x14ac:dyDescent="0.25">
      <c r="A199" t="e" vm="35">
        <v>#VALUE!</v>
      </c>
      <c r="B199" s="63" t="str">
        <f>VLOOKUP($A199,Table1[],2,FALSE)</f>
        <v>Mid Cap Senior</v>
      </c>
      <c r="C199" s="63">
        <f>VLOOKUP(Table28[[#This Row],[Company]],Table2[],38,FALSE)</f>
        <v>65.737609876543203</v>
      </c>
      <c r="E199" t="e" vm="35">
        <v>#VALUE!</v>
      </c>
      <c r="F199" s="63" t="str">
        <f>VLOOKUP(Table29[[#This Row],[Company]],Table1[],2,FALSE)</f>
        <v>Mid Cap Senior</v>
      </c>
      <c r="G199" s="79">
        <f>VLOOKUP(Table29[[#This Row],[Company]],Table1[],24,FALSE)</f>
        <v>27</v>
      </c>
    </row>
    <row r="200" spans="1:7" x14ac:dyDescent="0.25">
      <c r="A200" t="e" vm="34">
        <v>#VALUE!</v>
      </c>
      <c r="B200" s="63" t="str">
        <f>VLOOKUP($A200,Table1[],2,FALSE)</f>
        <v>Mid Cap Senior</v>
      </c>
      <c r="C200" s="63">
        <f>VLOOKUP(Table28[[#This Row],[Company]],Table2[],38,FALSE)</f>
        <v>70.135273267521782</v>
      </c>
      <c r="E200" t="e" vm="34">
        <v>#VALUE!</v>
      </c>
      <c r="F200" s="63" t="str">
        <f>VLOOKUP(Table29[[#This Row],[Company]],Table1[],2,FALSE)</f>
        <v>Mid Cap Senior</v>
      </c>
      <c r="G200" s="79">
        <f>VLOOKUP(Table29[[#This Row],[Company]],Table1[],24,FALSE)</f>
        <v>24.3</v>
      </c>
    </row>
    <row r="201" spans="1:7" x14ac:dyDescent="0.25">
      <c r="A201" t="e" vm="31">
        <v>#VALUE!</v>
      </c>
      <c r="B201" s="63" t="str">
        <f>VLOOKUP($A201,Table1[],2,FALSE)</f>
        <v>Mid Cap Senior</v>
      </c>
      <c r="C201" s="63">
        <f>VLOOKUP(Table28[[#This Row],[Company]],Table2[],38,FALSE)</f>
        <v>45.354572834994777</v>
      </c>
      <c r="E201" t="e" vm="31">
        <v>#VALUE!</v>
      </c>
      <c r="F201" s="63" t="str">
        <f>VLOOKUP(Table29[[#This Row],[Company]],Table1[],2,FALSE)</f>
        <v>Mid Cap Senior</v>
      </c>
      <c r="G201" s="79">
        <f>VLOOKUP(Table29[[#This Row],[Company]],Table1[],24,FALSE)</f>
        <v>5.82</v>
      </c>
    </row>
    <row r="202" spans="1:7" x14ac:dyDescent="0.25">
      <c r="A202" t="e" vm="30">
        <v>#VALUE!</v>
      </c>
      <c r="B202" s="63" t="str">
        <f>VLOOKUP($A202,Table1[],2,FALSE)</f>
        <v>Mid Cap Senior</v>
      </c>
      <c r="C202" s="63">
        <f>VLOOKUP(Table28[[#This Row],[Company]],Table2[],38,FALSE)</f>
        <v>66.715699999999998</v>
      </c>
      <c r="E202" t="e" vm="30">
        <v>#VALUE!</v>
      </c>
      <c r="F202" s="63" t="str">
        <f>VLOOKUP(Table29[[#This Row],[Company]],Table1[],2,FALSE)</f>
        <v>Mid Cap Senior</v>
      </c>
      <c r="G202" s="79">
        <f>VLOOKUP(Table29[[#This Row],[Company]],Table1[],24,FALSE)</f>
        <v>7.8</v>
      </c>
    </row>
    <row r="203" spans="1:7" x14ac:dyDescent="0.25">
      <c r="A203" t="e" vm="19">
        <v>#VALUE!</v>
      </c>
      <c r="B203" s="63" t="str">
        <f>VLOOKUP($A203,Table1[],2,FALSE)</f>
        <v>Mid Cap Senior</v>
      </c>
      <c r="C203" s="63">
        <f>VLOOKUP(Table28[[#This Row],[Company]],Table2[],38,FALSE)</f>
        <v>81</v>
      </c>
      <c r="E203" t="e" vm="19">
        <v>#VALUE!</v>
      </c>
      <c r="F203" s="63" t="str">
        <f>VLOOKUP(Table29[[#This Row],[Company]],Table1[],2,FALSE)</f>
        <v>Mid Cap Senior</v>
      </c>
      <c r="G203" s="79">
        <f>VLOOKUP(Table29[[#This Row],[Company]],Table1[],24,FALSE)</f>
        <v>3.6</v>
      </c>
    </row>
    <row r="204" spans="1:7" x14ac:dyDescent="0.25">
      <c r="A204" t="e" vm="22">
        <v>#VALUE!</v>
      </c>
      <c r="B204" s="63" t="str">
        <f>VLOOKUP($A204,Table1[],2,FALSE)</f>
        <v>Mid Cap Senior</v>
      </c>
      <c r="C204" s="63">
        <f>VLOOKUP(Table28[[#This Row],[Company]],Table2[],38,FALSE)</f>
        <v>74.234820982514577</v>
      </c>
      <c r="E204" t="e" vm="22">
        <v>#VALUE!</v>
      </c>
      <c r="F204" s="63" t="str">
        <f>VLOOKUP(Table29[[#This Row],[Company]],Table1[],2,FALSE)</f>
        <v>Mid Cap Senior</v>
      </c>
      <c r="G204" s="79">
        <f>VLOOKUP(Table29[[#This Row],[Company]],Table1[],24,FALSE)</f>
        <v>9.7260000000000009</v>
      </c>
    </row>
    <row r="205" spans="1:7" x14ac:dyDescent="0.25">
      <c r="A205" t="e" vm="24">
        <v>#VALUE!</v>
      </c>
      <c r="B205" s="63" t="str">
        <f>VLOOKUP($A205,Table1[],2,FALSE)</f>
        <v>Small Cap Senior</v>
      </c>
      <c r="C205" s="63">
        <f>VLOOKUP(Table28[[#This Row],[Company]],Table2[],38,FALSE)</f>
        <v>70</v>
      </c>
      <c r="E205" t="e" vm="24">
        <v>#VALUE!</v>
      </c>
      <c r="F205" s="63" t="str">
        <f>VLOOKUP(Table29[[#This Row],[Company]],Table1[],2,FALSE)</f>
        <v>Small Cap Senior</v>
      </c>
      <c r="G205" s="79">
        <f>VLOOKUP(Table29[[#This Row],[Company]],Table1[],24,FALSE)</f>
        <v>7.25</v>
      </c>
    </row>
    <row r="206" spans="1:7" x14ac:dyDescent="0.25">
      <c r="A206" t="e" vm="25">
        <v>#VALUE!</v>
      </c>
      <c r="B206" s="63" t="str">
        <f>VLOOKUP($A206,Table1[],2,FALSE)</f>
        <v>Small Cap Senior</v>
      </c>
      <c r="C206" s="63">
        <f>VLOOKUP(Table28[[#This Row],[Company]],Table2[],38,FALSE)</f>
        <v>78.540656326695853</v>
      </c>
      <c r="E206" t="e" vm="25">
        <v>#VALUE!</v>
      </c>
      <c r="F206" s="63" t="str">
        <f>VLOOKUP(Table29[[#This Row],[Company]],Table1[],2,FALSE)</f>
        <v>Small Cap Senior</v>
      </c>
      <c r="G206" s="79">
        <f>VLOOKUP(Table29[[#This Row],[Company]],Table1[],24,FALSE)</f>
        <v>16.359000000000002</v>
      </c>
    </row>
    <row r="207" spans="1:7" x14ac:dyDescent="0.25">
      <c r="A207" t="e" vm="28">
        <v>#VALUE!</v>
      </c>
      <c r="B207" s="63" t="str">
        <f>VLOOKUP($A207,Table1[],2,FALSE)</f>
        <v>Small Cap Senior</v>
      </c>
      <c r="C207" s="63">
        <f>VLOOKUP(Table28[[#This Row],[Company]],Table2[],38,FALSE)</f>
        <v>67.902739726027406</v>
      </c>
      <c r="E207" t="e" vm="28">
        <v>#VALUE!</v>
      </c>
      <c r="F207" s="63" t="str">
        <f>VLOOKUP(Table29[[#This Row],[Company]],Table1[],2,FALSE)</f>
        <v>Small Cap Senior</v>
      </c>
      <c r="G207" s="79">
        <f>VLOOKUP(Table29[[#This Row],[Company]],Table1[],24,FALSE)</f>
        <v>16.706</v>
      </c>
    </row>
    <row r="208" spans="1:7" x14ac:dyDescent="0.25">
      <c r="A208" t="e" vm="16">
        <v>#VALUE!</v>
      </c>
      <c r="B208" s="63" t="str">
        <f>VLOOKUP($A208,Table1[],2,FALSE)</f>
        <v>Small Cap Senior</v>
      </c>
      <c r="C208" s="63">
        <f>VLOOKUP(Table28[[#This Row],[Company]],Table2[],38,FALSE)</f>
        <v>61.54</v>
      </c>
      <c r="E208" t="e" vm="16">
        <v>#VALUE!</v>
      </c>
      <c r="F208" s="63" t="str">
        <f>VLOOKUP(Table29[[#This Row],[Company]],Table1[],2,FALSE)</f>
        <v>Small Cap Senior</v>
      </c>
      <c r="G208" s="79">
        <f>VLOOKUP(Table29[[#This Row],[Company]],Table1[],24,FALSE)</f>
        <v>4.8159999999999998</v>
      </c>
    </row>
    <row r="209" spans="1:7" x14ac:dyDescent="0.25">
      <c r="A209" t="e" vm="21">
        <v>#VALUE!</v>
      </c>
      <c r="B209" s="63" t="str">
        <f>VLOOKUP($A209,Table1[],2,FALSE)</f>
        <v>Small Cap Senior</v>
      </c>
      <c r="C209" s="63">
        <f>VLOOKUP(Table28[[#This Row],[Company]],Table2[],38,FALSE)</f>
        <v>73.572779317647061</v>
      </c>
      <c r="E209" t="e" vm="21">
        <v>#VALUE!</v>
      </c>
      <c r="F209" s="63" t="str">
        <f>VLOOKUP(Table29[[#This Row],[Company]],Table1[],2,FALSE)</f>
        <v>Small Cap Senior</v>
      </c>
      <c r="G209" s="79">
        <f>VLOOKUP(Table29[[#This Row],[Company]],Table1[],24,FALSE)</f>
        <v>5.3760000000000003</v>
      </c>
    </row>
    <row r="210" spans="1:7" x14ac:dyDescent="0.25">
      <c r="A210" t="e" vm="18">
        <v>#VALUE!</v>
      </c>
      <c r="B210" s="63" t="str">
        <f>VLOOKUP($A210,Table1[],2,FALSE)</f>
        <v>Small Cap Senior</v>
      </c>
      <c r="C210" s="63">
        <f>VLOOKUP(Table28[[#This Row],[Company]],Table2[],38,FALSE)</f>
        <v>63.253588516746404</v>
      </c>
      <c r="E210" t="e" vm="18">
        <v>#VALUE!</v>
      </c>
      <c r="F210" s="63" t="str">
        <f>VLOOKUP(Table29[[#This Row],[Company]],Table1[],2,FALSE)</f>
        <v>Small Cap Senior</v>
      </c>
      <c r="G210" s="79">
        <f>VLOOKUP(Table29[[#This Row],[Company]],Table1[],24,FALSE)</f>
        <v>25.341000000000001</v>
      </c>
    </row>
    <row r="211" spans="1:7" x14ac:dyDescent="0.25">
      <c r="A211" t="e" vm="23">
        <v>#VALUE!</v>
      </c>
      <c r="B211" s="63" t="str">
        <f>VLOOKUP($A211,Table1[],2,FALSE)</f>
        <v>Small Cap Senior</v>
      </c>
      <c r="C211" s="63">
        <f>VLOOKUP(Table28[[#This Row],[Company]],Table2[],38,FALSE)</f>
        <v>67.239999999999995</v>
      </c>
      <c r="E211" t="e" vm="23">
        <v>#VALUE!</v>
      </c>
      <c r="F211" s="63" t="str">
        <f>VLOOKUP(Table29[[#This Row],[Company]],Table1[],2,FALSE)</f>
        <v>Small Cap Senior</v>
      </c>
      <c r="G211" s="79">
        <f>VLOOKUP(Table29[[#This Row],[Company]],Table1[],24,FALSE)</f>
        <v>2.2400000000000002</v>
      </c>
    </row>
    <row r="212" spans="1:7" x14ac:dyDescent="0.25">
      <c r="A212" t="e" vm="15">
        <v>#VALUE!</v>
      </c>
      <c r="B212" s="63" t="str">
        <f>VLOOKUP($A212,Table1[],2,FALSE)</f>
        <v>Small Cap Junior</v>
      </c>
      <c r="C212" s="63">
        <f>VLOOKUP(Table28[[#This Row],[Company]],Table2[],38,FALSE)</f>
        <v>58.340756756756761</v>
      </c>
      <c r="E212" t="e" vm="15">
        <v>#VALUE!</v>
      </c>
      <c r="F212" s="63" t="str">
        <f>VLOOKUP(Table29[[#This Row],[Company]],Table1[],2,FALSE)</f>
        <v>Small Cap Junior</v>
      </c>
      <c r="G212" s="79">
        <f>VLOOKUP(Table29[[#This Row],[Company]],Table1[],24,FALSE)</f>
        <v>2.5819999999999999</v>
      </c>
    </row>
    <row r="213" spans="1:7" x14ac:dyDescent="0.25">
      <c r="A213" t="e" vm="27">
        <v>#VALUE!</v>
      </c>
      <c r="B213" s="63" t="str">
        <f>VLOOKUP($A213,Table1[],2,FALSE)</f>
        <v>Small Cap Junior</v>
      </c>
      <c r="C213" s="63">
        <f>VLOOKUP(Table28[[#This Row],[Company]],Table2[],38,FALSE)</f>
        <v>63.12</v>
      </c>
      <c r="E213" t="e" vm="27">
        <v>#VALUE!</v>
      </c>
      <c r="F213" s="63" t="str">
        <f>VLOOKUP(Table29[[#This Row],[Company]],Table1[],2,FALSE)</f>
        <v>Small Cap Junior</v>
      </c>
      <c r="G213" s="79">
        <f>VLOOKUP(Table29[[#This Row],[Company]],Table1[],24,FALSE)</f>
        <v>12.7</v>
      </c>
    </row>
    <row r="214" spans="1:7" x14ac:dyDescent="0.25">
      <c r="A214" t="e" vm="9">
        <v>#VALUE!</v>
      </c>
      <c r="B214" s="63" t="str">
        <f>VLOOKUP($A214,Table1[],2,FALSE)</f>
        <v>Small Cap Junior</v>
      </c>
      <c r="C214" s="63">
        <f>VLOOKUP(Table28[[#This Row],[Company]],Table2[],38,FALSE)</f>
        <v>77.17</v>
      </c>
      <c r="E214" t="e" vm="9">
        <v>#VALUE!</v>
      </c>
      <c r="F214" s="63" t="str">
        <f>VLOOKUP(Table29[[#This Row],[Company]],Table1[],2,FALSE)</f>
        <v>Small Cap Junior</v>
      </c>
      <c r="G214" s="79">
        <f>VLOOKUP(Table29[[#This Row],[Company]],Table1[],24,FALSE)</f>
        <v>0.89</v>
      </c>
    </row>
    <row r="215" spans="1:7" x14ac:dyDescent="0.25">
      <c r="A215" t="e" vm="12">
        <v>#VALUE!</v>
      </c>
      <c r="B215" s="63" t="str">
        <f>VLOOKUP($A215,Table1[],2,FALSE)</f>
        <v>Small Cap Junior</v>
      </c>
      <c r="C215" s="63">
        <f>VLOOKUP(Table28[[#This Row],[Company]],Table2[],38,FALSE)</f>
        <v>65</v>
      </c>
      <c r="E215" t="e" vm="12">
        <v>#VALUE!</v>
      </c>
      <c r="F215" s="63" t="str">
        <f>VLOOKUP(Table29[[#This Row],[Company]],Table1[],2,FALSE)</f>
        <v>Small Cap Junior</v>
      </c>
      <c r="G215" s="79">
        <f>VLOOKUP(Table29[[#This Row],[Company]],Table1[],24,FALSE)</f>
        <v>2.4</v>
      </c>
    </row>
    <row r="216" spans="1:7" x14ac:dyDescent="0.25">
      <c r="A216" t="e" vm="13">
        <v>#VALUE!</v>
      </c>
      <c r="B216" s="63" t="str">
        <f>VLOOKUP($A216,Table1[],2,FALSE)</f>
        <v>Small Cap Junior</v>
      </c>
      <c r="C216" s="63">
        <f>VLOOKUP(Table28[[#This Row],[Company]],Table2[],38,FALSE)</f>
        <v>69.291951219512185</v>
      </c>
      <c r="E216" t="e" vm="13">
        <v>#VALUE!</v>
      </c>
      <c r="F216" s="63" t="str">
        <f>VLOOKUP(Table29[[#This Row],[Company]],Table1[],2,FALSE)</f>
        <v>Small Cap Junior</v>
      </c>
      <c r="G216" s="79">
        <f>VLOOKUP(Table29[[#This Row],[Company]],Table1[],24,FALSE)</f>
        <v>0.74</v>
      </c>
    </row>
    <row r="217" spans="1:7" x14ac:dyDescent="0.25">
      <c r="A217" t="e" vm="17">
        <v>#VALUE!</v>
      </c>
      <c r="B217" s="63" t="str">
        <f>VLOOKUP($A217,Table1[],2,FALSE)</f>
        <v>Small Cap Junior</v>
      </c>
      <c r="C217" s="63">
        <f>VLOOKUP(Table28[[#This Row],[Company]],Table2[],38,FALSE)</f>
        <v>79.146907216494839</v>
      </c>
      <c r="E217" t="e" vm="17">
        <v>#VALUE!</v>
      </c>
      <c r="F217" s="63" t="str">
        <f>VLOOKUP(Table29[[#This Row],[Company]],Table1[],2,FALSE)</f>
        <v>Small Cap Junior</v>
      </c>
      <c r="G217" s="79">
        <f>VLOOKUP(Table29[[#This Row],[Company]],Table1[],24,FALSE)</f>
        <v>11.811</v>
      </c>
    </row>
    <row r="218" spans="1:7" x14ac:dyDescent="0.25">
      <c r="A218" t="e" vm="20">
        <v>#VALUE!</v>
      </c>
      <c r="B218" s="63" t="str">
        <f>VLOOKUP($A218,Table1[],2,FALSE)</f>
        <v>Small Cap Junior</v>
      </c>
      <c r="C218" s="63">
        <f>VLOOKUP(Table28[[#This Row],[Company]],Table2[],38,FALSE)</f>
        <v>69.176892253511355</v>
      </c>
      <c r="E218" t="e" vm="20">
        <v>#VALUE!</v>
      </c>
      <c r="F218" s="63" t="str">
        <f>VLOOKUP(Table29[[#This Row],[Company]],Table1[],2,FALSE)</f>
        <v>Small Cap Junior</v>
      </c>
      <c r="G218" s="79">
        <f>VLOOKUP(Table29[[#This Row],[Company]],Table1[],24,FALSE)</f>
        <v>2.19</v>
      </c>
    </row>
    <row r="219" spans="1:7" x14ac:dyDescent="0.25">
      <c r="A219" t="e" vm="11">
        <v>#VALUE!</v>
      </c>
      <c r="B219" s="63" t="str">
        <f>VLOOKUP($A219,Table1[],2,FALSE)</f>
        <v>Small Cap Junior</v>
      </c>
      <c r="C219" s="63">
        <f>VLOOKUP(Table28[[#This Row],[Company]],Table2[],38,FALSE)</f>
        <v>77.27</v>
      </c>
      <c r="E219" t="e" vm="11">
        <v>#VALUE!</v>
      </c>
      <c r="F219" s="63" t="str">
        <f>VLOOKUP(Table29[[#This Row],[Company]],Table1[],2,FALSE)</f>
        <v>Small Cap Junior</v>
      </c>
      <c r="G219" s="79">
        <f>VLOOKUP(Table29[[#This Row],[Company]],Table1[],24,FALSE)</f>
        <v>5.2</v>
      </c>
    </row>
    <row r="220" spans="1:7" x14ac:dyDescent="0.25">
      <c r="A220" t="e" vm="14">
        <v>#VALUE!</v>
      </c>
      <c r="B220" s="63" t="str">
        <f>VLOOKUP($A220,Table1[],2,FALSE)</f>
        <v>Small Cap Junior</v>
      </c>
      <c r="C220" s="63">
        <f>VLOOKUP(Table28[[#This Row],[Company]],Table2[],38,FALSE)</f>
        <v>75</v>
      </c>
      <c r="E220" t="e" vm="14">
        <v>#VALUE!</v>
      </c>
      <c r="F220" s="63" t="str">
        <f>VLOOKUP(Table29[[#This Row],[Company]],Table1[],2,FALSE)</f>
        <v>Small Cap Junior</v>
      </c>
      <c r="G220" s="79">
        <f>VLOOKUP(Table29[[#This Row],[Company]],Table1[],24,FALSE)</f>
        <v>4.4000000000000004</v>
      </c>
    </row>
    <row r="221" spans="1:7" x14ac:dyDescent="0.25">
      <c r="A221" t="e" vm="10">
        <v>#VALUE!</v>
      </c>
      <c r="B221" s="68" t="str">
        <f>VLOOKUP($A221,Table1[],2,FALSE)</f>
        <v>Small Cap Junior</v>
      </c>
      <c r="C221" s="63">
        <f>VLOOKUP(Table28[[#This Row],[Company]],Table2[],38,FALSE)</f>
        <v>77.17</v>
      </c>
      <c r="E221" t="e" vm="10">
        <v>#VALUE!</v>
      </c>
      <c r="F221" s="63" t="str">
        <f>VLOOKUP(Table29[[#This Row],[Company]],Table1[],2,FALSE)</f>
        <v>Small Cap Junior</v>
      </c>
      <c r="G221" s="79">
        <f>VLOOKUP(Table29[[#This Row],[Company]],Table1[],24,FALSE)</f>
        <v>0.5605</v>
      </c>
    </row>
  </sheetData>
  <phoneticPr fontId="7" type="noConversion"/>
  <pageMargins left="0.7" right="0.7" top="0.75" bottom="0.75" header="0.3" footer="0.3"/>
  <tableParts count="13">
    <tablePart r:id="rId1"/>
    <tablePart r:id="rId2"/>
    <tablePart r:id="rId3"/>
    <tablePart r:id="rId4"/>
    <tablePart r:id="rId5"/>
    <tablePart r:id="rId6"/>
    <tablePart r:id="rId7"/>
    <tablePart r:id="rId8"/>
    <tablePart r:id="rId9"/>
    <tablePart r:id="rId10"/>
    <tablePart r:id="rId11"/>
    <tablePart r:id="rId12"/>
    <tablePart r:id="rId1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CD4CF-09DF-4B74-89ED-23BA1AB85BEE}">
  <sheetPr codeName="Sheet17">
    <tabColor rgb="FFFFC000"/>
  </sheetPr>
  <dimension ref="B1:AI49"/>
  <sheetViews>
    <sheetView workbookViewId="0">
      <pane xSplit="2" ySplit="1" topLeftCell="M11" activePane="bottomRight" state="frozen"/>
      <selection pane="topRight" activeCell="C1" sqref="C1"/>
      <selection pane="bottomLeft" activeCell="A2" sqref="A2"/>
      <selection pane="bottomRight" activeCell="W31" sqref="W31"/>
    </sheetView>
  </sheetViews>
  <sheetFormatPr defaultRowHeight="15" x14ac:dyDescent="0.25"/>
  <cols>
    <col min="1" max="1" width="9.140625" style="1"/>
    <col min="2" max="2" width="39.42578125" style="1" bestFit="1" customWidth="1"/>
    <col min="3" max="3" width="11" style="1" customWidth="1"/>
    <col min="4" max="4" width="18.85546875" style="1" customWidth="1"/>
    <col min="5" max="5" width="16.85546875" style="1" bestFit="1" customWidth="1"/>
    <col min="6" max="6" width="12.85546875" style="1" bestFit="1" customWidth="1"/>
    <col min="7" max="7" width="24.42578125" style="1" bestFit="1" customWidth="1"/>
    <col min="8" max="8" width="21.28515625" style="1" bestFit="1" customWidth="1"/>
    <col min="9" max="9" width="25.42578125" style="1" bestFit="1" customWidth="1"/>
    <col min="10" max="11" width="12.7109375" style="1" bestFit="1" customWidth="1"/>
    <col min="12" max="12" width="21.85546875" style="1" bestFit="1" customWidth="1"/>
    <col min="13" max="13" width="12.85546875" style="1" bestFit="1" customWidth="1"/>
    <col min="14" max="14" width="18.85546875" style="1" bestFit="1" customWidth="1"/>
    <col min="15" max="15" width="18" style="1" bestFit="1" customWidth="1"/>
    <col min="16" max="16" width="19" style="1" bestFit="1" customWidth="1"/>
    <col min="17" max="17" width="18" style="1" bestFit="1" customWidth="1"/>
    <col min="18" max="18" width="21.140625" style="1" bestFit="1" customWidth="1"/>
    <col min="19" max="19" width="22" style="1" bestFit="1" customWidth="1"/>
    <col min="20" max="22" width="18" style="1" bestFit="1" customWidth="1"/>
    <col min="23" max="23" width="14" style="1" bestFit="1" customWidth="1"/>
    <col min="24" max="24" width="10.7109375" style="1" bestFit="1" customWidth="1"/>
    <col min="25" max="25" width="10.7109375" style="1" customWidth="1"/>
    <col min="26" max="26" width="10.7109375" style="1" bestFit="1" customWidth="1"/>
    <col min="27" max="27" width="17.28515625" style="1" bestFit="1" customWidth="1"/>
    <col min="28" max="28" width="13.42578125" style="1" bestFit="1" customWidth="1"/>
    <col min="29" max="29" width="13.5703125" style="1" bestFit="1" customWidth="1"/>
    <col min="30" max="30" width="19.28515625" style="1" bestFit="1" customWidth="1"/>
    <col min="31" max="31" width="15" style="1" bestFit="1" customWidth="1"/>
    <col min="32" max="32" width="12.42578125" style="1" bestFit="1" customWidth="1"/>
    <col min="33" max="33" width="13.85546875" style="1" bestFit="1" customWidth="1"/>
    <col min="34" max="34" width="14" style="1" bestFit="1" customWidth="1"/>
    <col min="35" max="35" width="19.85546875" style="1" bestFit="1" customWidth="1"/>
    <col min="36" max="16384" width="9.140625" style="1"/>
  </cols>
  <sheetData>
    <row r="1" spans="2:35" ht="15.75" thickBot="1" x14ac:dyDescent="0.3">
      <c r="B1" s="7" t="s">
        <v>67</v>
      </c>
      <c r="C1" s="7" t="s">
        <v>10</v>
      </c>
      <c r="D1" s="7" t="s">
        <v>51</v>
      </c>
      <c r="E1" s="7" t="s">
        <v>49</v>
      </c>
      <c r="G1" s="29" t="s">
        <v>67</v>
      </c>
      <c r="H1" s="29" t="s">
        <v>10</v>
      </c>
      <c r="I1" s="29" t="s">
        <v>51</v>
      </c>
      <c r="J1" s="29" t="s">
        <v>49</v>
      </c>
    </row>
    <row r="2" spans="2:35" ht="15.75" thickBot="1" x14ac:dyDescent="0.3">
      <c r="B2" s="1" t="e" vm="59">
        <v>#VALUE!</v>
      </c>
      <c r="C2" s="4">
        <f>_FV(B2,"Price")</f>
        <v>1739.9</v>
      </c>
      <c r="D2" s="4" cm="1">
        <f t="array" ref="D2">_FV(Table1315[[#This Row],[Commodity]],"Change")</f>
        <v>-29</v>
      </c>
      <c r="E2" s="12" cm="1">
        <f t="array" ref="E2">_FV(Table1315[[#This Row],[Commodity]],"Change (%)",TRUE)</f>
        <v>-1.6393999999999999E-2</v>
      </c>
      <c r="F2" s="19"/>
      <c r="G2" s="30" t="e" vm="60">
        <v>#VALUE!</v>
      </c>
      <c r="H2" s="31">
        <f>_FV(G2,"Price")</f>
        <v>2.2974999999999999</v>
      </c>
      <c r="I2" s="31">
        <f>_FV(G2,"Change")</f>
        <v>-3.2000000000000001E-2</v>
      </c>
      <c r="J2" s="32">
        <f>_FV(G2,"Change (%)",TRUE)</f>
        <v>-1.3736999999999999E-2</v>
      </c>
      <c r="K2" s="19"/>
      <c r="L2" s="19"/>
      <c r="M2" s="19"/>
      <c r="N2" s="19"/>
    </row>
    <row r="3" spans="2:35" x14ac:dyDescent="0.25">
      <c r="B3" s="18" t="s">
        <v>5</v>
      </c>
      <c r="E3" s="153" t="s">
        <v>66</v>
      </c>
      <c r="F3" s="153"/>
      <c r="G3" s="153"/>
      <c r="H3" s="153"/>
      <c r="I3" s="154" t="s">
        <v>69</v>
      </c>
      <c r="J3" s="155"/>
      <c r="K3" s="155"/>
      <c r="L3" s="155"/>
      <c r="N3" s="25" t="s">
        <v>71</v>
      </c>
      <c r="AA3" s="153" t="s">
        <v>91</v>
      </c>
      <c r="AB3" s="153"/>
      <c r="AC3" s="153"/>
      <c r="AD3" s="153"/>
      <c r="AE3" s="152" t="s">
        <v>16</v>
      </c>
      <c r="AF3" s="152"/>
      <c r="AG3" s="153" t="s">
        <v>19</v>
      </c>
      <c r="AH3" s="153"/>
      <c r="AI3" s="153"/>
    </row>
    <row r="4" spans="2:35" x14ac:dyDescent="0.25">
      <c r="B4" s="8" t="s">
        <v>46</v>
      </c>
      <c r="C4" s="8" t="s">
        <v>10</v>
      </c>
      <c r="D4" s="8" t="s">
        <v>45</v>
      </c>
      <c r="E4" s="8" t="s">
        <v>78</v>
      </c>
      <c r="F4" s="7" t="s">
        <v>11</v>
      </c>
      <c r="G4" s="7" t="s">
        <v>12</v>
      </c>
      <c r="H4" s="7" t="s">
        <v>57</v>
      </c>
      <c r="I4" s="7" t="s">
        <v>60</v>
      </c>
      <c r="J4" s="7" t="s">
        <v>65</v>
      </c>
      <c r="K4" s="7" t="s">
        <v>62</v>
      </c>
      <c r="L4" s="7" t="s">
        <v>61</v>
      </c>
      <c r="M4" s="7" t="s">
        <v>63</v>
      </c>
      <c r="N4" s="7" t="s">
        <v>64</v>
      </c>
      <c r="O4" s="7" t="s">
        <v>68</v>
      </c>
      <c r="P4" s="7" t="s">
        <v>74</v>
      </c>
      <c r="Q4" s="7" t="s">
        <v>70</v>
      </c>
      <c r="R4" s="7" t="s">
        <v>77</v>
      </c>
      <c r="S4" s="7" t="s">
        <v>76</v>
      </c>
      <c r="T4" s="7" t="s">
        <v>72</v>
      </c>
      <c r="U4" s="7" t="s">
        <v>73</v>
      </c>
      <c r="V4" s="7" t="s">
        <v>58</v>
      </c>
      <c r="W4" s="7" t="s">
        <v>79</v>
      </c>
      <c r="X4" s="7" t="s">
        <v>84</v>
      </c>
      <c r="Y4" s="7" t="s">
        <v>90</v>
      </c>
      <c r="Z4" s="7" t="s">
        <v>85</v>
      </c>
      <c r="AA4" s="7" t="s">
        <v>86</v>
      </c>
      <c r="AB4" s="7" t="s">
        <v>87</v>
      </c>
      <c r="AC4" s="7" t="s">
        <v>88</v>
      </c>
      <c r="AD4" s="7" t="s">
        <v>89</v>
      </c>
      <c r="AE4" s="7" t="s">
        <v>14</v>
      </c>
      <c r="AF4" s="7" t="s">
        <v>15</v>
      </c>
      <c r="AG4" s="7" t="s">
        <v>17</v>
      </c>
      <c r="AH4" s="7" t="s">
        <v>18</v>
      </c>
    </row>
    <row r="5" spans="2:35" x14ac:dyDescent="0.25">
      <c r="B5" s="28" t="e" vm="38">
        <v>#VALUE!</v>
      </c>
      <c r="C5" s="3">
        <f>_FV(B5,"Price")</f>
        <v>82.76</v>
      </c>
      <c r="D5" s="5" cm="1">
        <f t="array" ref="D5">_FV(B5,"Market cap",TRUE)/1000000</f>
        <v>48281.46</v>
      </c>
      <c r="E5" s="15">
        <f>(Table9[[#This Row],[Market Cap (MM)]]*1000000)/Table9[[#This Row],[Price]]</f>
        <v>583391251.81246972</v>
      </c>
      <c r="F5" s="15">
        <v>5101000</v>
      </c>
      <c r="G5" s="15">
        <v>6004000</v>
      </c>
      <c r="H5" s="15">
        <f>6.4*1000000</f>
        <v>6400000</v>
      </c>
      <c r="I5" s="15">
        <f>Table9[[#This Row],[2020E Guidance.Avg]]</f>
        <v>6400000</v>
      </c>
      <c r="K5" s="21">
        <v>909</v>
      </c>
      <c r="L5" s="21">
        <v>966</v>
      </c>
      <c r="M5" s="21">
        <v>975</v>
      </c>
      <c r="O5" s="4" cm="1">
        <f t="array" ref="O5">(Table1315[Price]*0.9)-Table9[[#This Row],[AISC 2020E Guidance]]</f>
        <v>590.91000000000008</v>
      </c>
      <c r="P5" s="11" cm="1">
        <f t="array" ref="P5">(Table9[[#This Row],[2020 Margin]]/Table1315[Price]*0.9)</f>
        <v>0.3056606701534571</v>
      </c>
      <c r="Q5" s="21">
        <f>Table9[[#This Row],[2020 Margin]]*Table9[[#This Row],[2020E Guidance Revised ]]</f>
        <v>3781824000.0000005</v>
      </c>
      <c r="R5" s="14">
        <f>Table9[[#This Row],[2020 Ops CF]]/Table9[[#This Row],[S/O]]</f>
        <v>6.4824832190244468</v>
      </c>
      <c r="S5" s="10">
        <v>65.400000000000006</v>
      </c>
      <c r="T5" s="14">
        <f>1.4*1000000</f>
        <v>1400000</v>
      </c>
      <c r="U5" s="33">
        <f>Table9[[#This Row],[Copper &amp; GEO]]*Table9[[#This Row],[2020 Margin]]</f>
        <v>827274000.00000012</v>
      </c>
      <c r="V5" s="27">
        <f>Table9[[#This Row],[2020 Ops CF]]+Table9[[#This Row],[2020 Ops CF-Copper]]</f>
        <v>4609098000.000001</v>
      </c>
      <c r="W5" s="9">
        <f>Table9[[#This Row],[Price]]/Table9[[#This Row],[CFPS]]</f>
        <v>12.766712570442197</v>
      </c>
      <c r="X5" s="40">
        <v>13.09</v>
      </c>
      <c r="Y5" s="1">
        <v>3.82</v>
      </c>
      <c r="Z5" s="40">
        <f>Table9[[#This Row],[Price]]/Table9[[#This Row],[2019 EPS]]</f>
        <v>21.66492146596859</v>
      </c>
      <c r="AA5" s="11">
        <f>(9.74-7.38)/7.38</f>
        <v>0.31978319783197839</v>
      </c>
      <c r="AB5" s="11">
        <v>9.4E-2</v>
      </c>
      <c r="AC5" s="11">
        <v>0.1757</v>
      </c>
      <c r="AD5" s="11">
        <v>0.28799999999999998</v>
      </c>
      <c r="AE5" s="9">
        <f>6272/2385</f>
        <v>2.629769392033543</v>
      </c>
      <c r="AF5" s="9">
        <f>2480/2385</f>
        <v>1.0398322851153039</v>
      </c>
      <c r="AG5" s="9">
        <f>18554/21420</f>
        <v>0.86619981325863682</v>
      </c>
      <c r="AH5" s="9">
        <f>18554/39974</f>
        <v>0.46415169860409267</v>
      </c>
    </row>
    <row r="6" spans="2:35" x14ac:dyDescent="0.25">
      <c r="B6" s="1" t="e" vm="42">
        <v>#VALUE!</v>
      </c>
      <c r="C6" s="44" cm="1">
        <f t="array" ref="C6">_FV(B6,"Price")</f>
        <v>51.74</v>
      </c>
      <c r="D6" s="5" cm="1">
        <f t="array" ref="D6">_FV(B6,"Market cap",TRUE)/1000000</f>
        <v>15191.53</v>
      </c>
      <c r="E6" s="15">
        <f>(Table9[[#This Row],[Market Cap (MM)]]*1000000)/Table9[[#This Row],[Price]]</f>
        <v>293612872.05257052</v>
      </c>
      <c r="F6" s="15">
        <v>723700</v>
      </c>
      <c r="G6" s="15">
        <v>974615</v>
      </c>
      <c r="H6" s="15">
        <f>AVERAGE(1470000,1540000)</f>
        <v>1505000</v>
      </c>
      <c r="I6" s="15">
        <v>1470000</v>
      </c>
      <c r="K6" s="21">
        <v>685</v>
      </c>
      <c r="L6" s="21">
        <v>564</v>
      </c>
      <c r="M6" s="21">
        <v>830</v>
      </c>
      <c r="O6" s="4" cm="1">
        <f t="array" ref="O6">(Table1315[Price]*0.9)-Table9[[#This Row],[AISC 2020E Guidance]]</f>
        <v>735.91000000000008</v>
      </c>
      <c r="P6" s="11" cm="1">
        <f t="array" ref="P6">(Table9[[#This Row],[2020 Margin]]/Table1315[Price]*0.9)</f>
        <v>0.3806649807460199</v>
      </c>
      <c r="Q6" s="21">
        <f>Table9[[#This Row],[2020 Margin]]*Table9[[#This Row],[2020E Guidance Revised ]]</f>
        <v>1081787700.0000002</v>
      </c>
      <c r="R6" s="14">
        <f>Table9[[#This Row],[2020 Ops CF]]/Table9[[#This Row],[S/O]]</f>
        <v>3.6844014788503867</v>
      </c>
      <c r="S6" s="10">
        <v>20.47</v>
      </c>
      <c r="U6" s="33"/>
      <c r="V6" s="27">
        <f>Table9[[#This Row],[2020 Ops CF]]+Table9[[#This Row],[2020 Ops CF-Copper]]</f>
        <v>1081787700.0000002</v>
      </c>
      <c r="W6" s="9">
        <f>Table9[[#This Row],[Price]]/Table9[[#This Row],[CFPS]]</f>
        <v>14.042986438096861</v>
      </c>
      <c r="X6" s="40">
        <v>18.649999999999999</v>
      </c>
      <c r="Y6" s="1">
        <v>2.67</v>
      </c>
      <c r="Z6" s="40">
        <f>Table9[[#This Row],[Price]]/Table9[[#This Row],[2019 EPS]]</f>
        <v>19.378277153558052</v>
      </c>
      <c r="AA6" s="11">
        <f>(1.38-0.75)/0.75</f>
        <v>0.83999999999999986</v>
      </c>
      <c r="AB6" s="11">
        <f>0.2625</f>
        <v>0.26250000000000001</v>
      </c>
      <c r="AC6" s="11">
        <f>0.3637</f>
        <v>0.36370000000000002</v>
      </c>
      <c r="AD6" s="11">
        <f>0.4059</f>
        <v>0.40589999999999998</v>
      </c>
      <c r="AE6" s="9">
        <f>795/417</f>
        <v>1.9064748201438848</v>
      </c>
      <c r="AF6" s="9">
        <f>707/417</f>
        <v>1.6954436450839327</v>
      </c>
      <c r="AG6" s="9">
        <f>741/1817</f>
        <v>0.40781507980187121</v>
      </c>
      <c r="AH6" s="9">
        <f>741/2558</f>
        <v>0.28967943706020327</v>
      </c>
    </row>
    <row r="7" spans="2:35" x14ac:dyDescent="0.25">
      <c r="B7" s="1" t="e" vm="46">
        <v>#VALUE!</v>
      </c>
      <c r="C7" s="3">
        <f>_FV(B7,"Price")</f>
        <v>73.5</v>
      </c>
      <c r="D7" s="5" cm="1">
        <f t="array" ref="D7">_FV(B7,"Market cap",TRUE)/1000000</f>
        <v>17240.53</v>
      </c>
      <c r="E7" s="15">
        <f>(Table9[[#This Row],[Market Cap (MM)]]*1000000)/Table9[[#This Row],[Price]]</f>
        <v>234565034.01360545</v>
      </c>
      <c r="F7" s="15">
        <v>1626669</v>
      </c>
      <c r="G7" s="15">
        <v>1782147</v>
      </c>
      <c r="H7" s="15">
        <v>2000000</v>
      </c>
      <c r="I7" s="23">
        <v>1875000</v>
      </c>
      <c r="K7" s="21">
        <v>877</v>
      </c>
      <c r="L7" s="26">
        <v>938</v>
      </c>
      <c r="M7" s="21">
        <f>AVERAGE(1025,975)</f>
        <v>1000</v>
      </c>
      <c r="O7" s="4" cm="1">
        <f t="array" ref="O7">(Table1315[Price]*0.9)-Table9[[#This Row],[AISC 2020E Guidance]]</f>
        <v>565.91000000000008</v>
      </c>
      <c r="P7" s="11" cm="1">
        <f t="array" ref="P7">(Table9[[#This Row],[2020 Margin]]/Table1315[Price]*0.9)</f>
        <v>0.29272889246508427</v>
      </c>
      <c r="Q7" s="21">
        <f>Table9[[#This Row],[2020 Margin]]*Table9[[#This Row],[2020E Guidance Revised ]]</f>
        <v>1061081250.0000001</v>
      </c>
      <c r="R7" s="14">
        <f>Table9[[#This Row],[2020 Ops CF]]/Table9[[#This Row],[S/O]]</f>
        <v>4.5236122018870653</v>
      </c>
      <c r="S7" s="10">
        <v>21.585000000000001</v>
      </c>
      <c r="U7" s="33"/>
      <c r="V7" s="27">
        <f>Table9[[#This Row],[2020 Ops CF]]+Table9[[#This Row],[2020 Ops CF-Copper]]</f>
        <v>1061081250.0000001</v>
      </c>
      <c r="W7" s="9">
        <f>Table9[[#This Row],[Price]]/Table9[[#This Row],[CFPS]]</f>
        <v>16.248077138296431</v>
      </c>
      <c r="X7" s="40">
        <f>79.98/Table9[[#This Row],[2019 EPS]]</f>
        <v>39.99</v>
      </c>
      <c r="Y7" s="1">
        <v>2</v>
      </c>
      <c r="Z7" s="40">
        <f>Table9[[#This Row],[Price]]/Table9[[#This Row],[2019 EPS]]</f>
        <v>36.75</v>
      </c>
      <c r="AA7" s="11">
        <f>(2.49-2.24)/2.24</f>
        <v>0.11160714285714285</v>
      </c>
      <c r="AB7" s="11">
        <f>0.0569</f>
        <v>5.6899999999999999E-2</v>
      </c>
      <c r="AC7" s="11">
        <f>0.0979</f>
        <v>9.7900000000000001E-2</v>
      </c>
      <c r="AD7" s="11">
        <f>0.1879</f>
        <v>0.18790000000000001</v>
      </c>
      <c r="AE7" s="9">
        <f>1194/776</f>
        <v>1.5386597938144331</v>
      </c>
      <c r="AF7" s="9">
        <f>322/776</f>
        <v>0.41494845360824745</v>
      </c>
      <c r="AG7" s="9">
        <f>3678/5112</f>
        <v>0.71948356807511737</v>
      </c>
      <c r="AH7" s="9">
        <f>3678/8790</f>
        <v>0.41843003412969282</v>
      </c>
    </row>
    <row r="8" spans="2:35" x14ac:dyDescent="0.25">
      <c r="B8" s="28" t="e" vm="8">
        <v>#VALUE!</v>
      </c>
      <c r="C8" s="3">
        <f>_FV(B8,"Price")</f>
        <v>34</v>
      </c>
      <c r="D8" s="5" cm="1">
        <f t="array" ref="D8">_FV(B8,"Market cap",TRUE)/1000000</f>
        <v>59864.49</v>
      </c>
      <c r="E8" s="15">
        <f>(Table9[[#This Row],[Market Cap (MM)]]*1000000)/Table9[[#This Row],[Price]]</f>
        <v>1760720294.1176472</v>
      </c>
      <c r="F8" s="15">
        <v>4527000</v>
      </c>
      <c r="G8" s="15">
        <v>5465000</v>
      </c>
      <c r="H8" s="15">
        <f>AVERAGE(4.8,5.2)*1000000</f>
        <v>5000000</v>
      </c>
      <c r="I8" s="15">
        <f>AVERAGE(5200000,4800000)</f>
        <v>5000000</v>
      </c>
      <c r="K8" s="21">
        <v>806</v>
      </c>
      <c r="L8" s="26">
        <v>894</v>
      </c>
      <c r="M8" s="21">
        <f>AVERAGE(970,920)</f>
        <v>945</v>
      </c>
      <c r="O8" s="4" cm="1">
        <f t="array" ref="O8">(Table1315[Price]*0.9)-Table9[[#This Row],[AISC 2020E Guidance]]</f>
        <v>620.91000000000008</v>
      </c>
      <c r="P8" s="11" cm="1">
        <f t="array" ref="P8">(Table9[[#This Row],[2020 Margin]]/Table1315[Price]*0.9)</f>
        <v>0.32117880337950461</v>
      </c>
      <c r="Q8" s="21">
        <f>Table9[[#This Row],[2020 Margin]]*Table9[[#This Row],[2020E Guidance Revised ]]</f>
        <v>3104550000.0000005</v>
      </c>
      <c r="R8" s="14">
        <f>Table9[[#This Row],[2020 Ops CF]]/Table9[[#This Row],[S/O]]</f>
        <v>1.7632272487412823</v>
      </c>
      <c r="S8" s="10">
        <v>71</v>
      </c>
      <c r="T8" s="13">
        <v>470000000</v>
      </c>
      <c r="U8" s="33">
        <f>(($H$2*0.95)-AVERAGE(2.2,2.5))*Table9[[#This Row],[Copper &amp; GEO]]</f>
        <v>-78666250.000000134</v>
      </c>
      <c r="V8" s="27">
        <f>Table9[[#This Row],[2020 Ops CF]]+Table9[[#This Row],[2020 Ops CF-Copper]]</f>
        <v>3025883750.0000005</v>
      </c>
      <c r="W8" s="9">
        <f>Table9[[#This Row],[Price]]/Table9[[#This Row],[CFPS]]</f>
        <v>19.282823597622841</v>
      </c>
      <c r="X8" s="40">
        <v>41.03</v>
      </c>
      <c r="Y8" s="1">
        <v>2.2599999999999998</v>
      </c>
      <c r="Z8" s="40">
        <f>Table9[[#This Row],[Price]]/Table9[[#This Row],[2019 EPS]]</f>
        <v>15.044247787610621</v>
      </c>
      <c r="AA8" s="11">
        <f>(9.72-8.37)/8.37</f>
        <v>0.16129032258064535</v>
      </c>
      <c r="AB8" s="11">
        <v>0.11840000000000001</v>
      </c>
      <c r="AC8" s="11">
        <v>0.27350000000000002</v>
      </c>
      <c r="AD8" s="11">
        <v>0.40849999999999997</v>
      </c>
      <c r="AE8" s="9">
        <f>6887/2376</f>
        <v>2.8985690235690234</v>
      </c>
      <c r="AF8" s="9">
        <f>3314/2376</f>
        <v>1.3947811447811447</v>
      </c>
      <c r="AG8" s="9">
        <f>22960/21432</f>
        <v>1.0712952594251586</v>
      </c>
      <c r="AH8" s="9">
        <f>22960/44392</f>
        <v>0.51721030816363311</v>
      </c>
    </row>
    <row r="9" spans="2:35" x14ac:dyDescent="0.25">
      <c r="B9" s="1" t="e" vm="2">
        <v>#VALUE!</v>
      </c>
      <c r="C9" s="3">
        <f>_FV(B9,"Price")</f>
        <v>171.48</v>
      </c>
      <c r="D9" s="5" cm="1">
        <f t="array" ref="D9">_FV(B9,"Market cap",TRUE)/1000000</f>
        <v>31893.98</v>
      </c>
      <c r="E9" s="15">
        <f>(Table9[[#This Row],[Market Cap (MM)]]*1000000)/Table9[[#This Row],[Price]]</f>
        <v>185992418.94098437</v>
      </c>
      <c r="F9" s="15">
        <v>447902</v>
      </c>
      <c r="G9" s="15">
        <v>516438</v>
      </c>
      <c r="H9" s="15">
        <f>AVERAGE(580000,550000)</f>
        <v>565000</v>
      </c>
      <c r="I9" s="15">
        <f>AVERAGE(580000,550000)</f>
        <v>565000</v>
      </c>
      <c r="K9" s="21">
        <v>239</v>
      </c>
      <c r="L9" s="21">
        <v>287</v>
      </c>
      <c r="M9" s="21">
        <f>(1+((Table9[[#This Row],[AISC 2019E]]-Table9[[#This Row],[AISC 2018E]])/Table9[[#This Row],[AISC 2018E]]))*Table9[[#This Row],[AISC 2019E]]</f>
        <v>344.64016736401675</v>
      </c>
      <c r="O9" s="4" cm="1">
        <f t="array" ref="O9">(Table1315[Price]*0.9)-Table9[[#This Row],[AISC 2020E Guidance]]</f>
        <v>1221.2698326359832</v>
      </c>
      <c r="P9" s="11" cm="1">
        <f t="array" ref="P9">(Table9[[#This Row],[2020 Margin]]/Table1315[Price]*0.9)</f>
        <v>0.63172759892659636</v>
      </c>
      <c r="Q9" s="21">
        <f>Table9[[#This Row],[2020 Margin]]*Table9[[#This Row],[2020E Guidance Revised ]]</f>
        <v>690017455.43933058</v>
      </c>
      <c r="R9" s="14">
        <f>Table9[[#This Row],[2020 Ops CF]]/Table9[[#This Row],[S/O]]</f>
        <v>3.7099224762396039</v>
      </c>
      <c r="S9" s="1">
        <v>0</v>
      </c>
      <c r="U9" s="33"/>
      <c r="V9" s="27">
        <f>Table9[[#This Row],[2020 Ops CF]]+Table9[[#This Row],[2020 Ops CF-Copper]]</f>
        <v>690017455.43933058</v>
      </c>
      <c r="W9" s="9">
        <f>Table9[[#This Row],[Price]]/Table9[[#This Row],[CFPS]]</f>
        <v>46.221990108486843</v>
      </c>
      <c r="X9" s="40">
        <v>96.84</v>
      </c>
      <c r="Y9" s="1">
        <v>1.83</v>
      </c>
      <c r="Z9" s="40">
        <f>Table9[[#This Row],[Price]]/Table9[[#This Row],[2019 EPS]]</f>
        <v>93.704918032786878</v>
      </c>
      <c r="AA9" s="11">
        <f>(844.1-675)/675</f>
        <v>0.25051851851851853</v>
      </c>
      <c r="AB9" s="11">
        <v>6.7400000000000002E-2</v>
      </c>
      <c r="AC9" s="11">
        <v>7.0999999999999994E-2</v>
      </c>
      <c r="AD9" s="11">
        <v>0.40770000000000001</v>
      </c>
      <c r="AE9" s="9">
        <f>279/53</f>
        <v>5.2641509433962268</v>
      </c>
      <c r="AF9" s="9">
        <f>132/53</f>
        <v>2.4905660377358489</v>
      </c>
      <c r="AG9" s="9">
        <f>218/5062</f>
        <v>4.3065981825365467E-2</v>
      </c>
      <c r="AH9" s="9">
        <f>218/5281</f>
        <v>4.1280060594584361E-2</v>
      </c>
    </row>
    <row r="10" spans="2:35" x14ac:dyDescent="0.25">
      <c r="B10" s="2" t="s">
        <v>92</v>
      </c>
      <c r="F10"/>
      <c r="I10" s="1">
        <f>SUBTOTAL(103,Table9[[2020E Guidance Revised ]])</f>
        <v>5</v>
      </c>
      <c r="R10"/>
      <c r="T10"/>
      <c r="U10"/>
      <c r="V10"/>
      <c r="W10"/>
      <c r="X10" s="35">
        <f>SUBTOTAL(101,Table9[2019 P/E])</f>
        <v>41.92</v>
      </c>
      <c r="Y10"/>
      <c r="Z10" s="35">
        <f>SUBTOTAL(101,Table9[2020 P/E])</f>
        <v>37.308472887984827</v>
      </c>
      <c r="AA10" s="45">
        <f>SUBTOTAL(101,Table9[REV 3Yr Growth])</f>
        <v>0.33663983635765704</v>
      </c>
      <c r="AB10" s="45">
        <f>SUBTOTAL(101,Table9[ROA% TTM ])</f>
        <v>0.11984000000000002</v>
      </c>
      <c r="AC10" s="45">
        <f>SUBTOTAL(101,Table9[ROE % TTM ])</f>
        <v>0.19636000000000001</v>
      </c>
      <c r="AD10" s="45">
        <f>SUBTOTAL(101,Table9[Net Margin% TTM])</f>
        <v>0.33959999999999996</v>
      </c>
      <c r="AE10" s="46">
        <f>SUBTOTAL(101,Table9[Current Ratio])</f>
        <v>2.8475247945914219</v>
      </c>
      <c r="AF10" s="46">
        <f>SUBTOTAL(101,Table9[Cash Ratio])</f>
        <v>1.4071143132648956</v>
      </c>
      <c r="AG10" s="46">
        <f>SUBTOTAL(101,Table9[Debt-Equity])</f>
        <v>0.62157194047722997</v>
      </c>
      <c r="AH10" s="46">
        <f>SUBTOTAL(101,Table9[Debt-Assest])</f>
        <v>0.34615030771044131</v>
      </c>
    </row>
    <row r="11" spans="2:35" x14ac:dyDescent="0.25">
      <c r="B11" s="8" t="s">
        <v>0</v>
      </c>
      <c r="C11" s="8" t="s">
        <v>10</v>
      </c>
      <c r="D11" s="8" t="s">
        <v>45</v>
      </c>
      <c r="E11" s="8" t="s">
        <v>78</v>
      </c>
      <c r="F11" s="7" t="s">
        <v>11</v>
      </c>
      <c r="G11" s="7" t="s">
        <v>12</v>
      </c>
      <c r="H11" s="7" t="s">
        <v>57</v>
      </c>
      <c r="I11" s="7" t="s">
        <v>60</v>
      </c>
      <c r="J11" s="7" t="s">
        <v>59</v>
      </c>
      <c r="K11" s="7" t="s">
        <v>62</v>
      </c>
      <c r="L11" s="7" t="s">
        <v>61</v>
      </c>
      <c r="M11" s="7" t="s">
        <v>63</v>
      </c>
      <c r="N11" s="7" t="s">
        <v>64</v>
      </c>
      <c r="O11" s="7" t="s">
        <v>68</v>
      </c>
      <c r="P11" s="7" t="s">
        <v>74</v>
      </c>
      <c r="Q11" s="7" t="s">
        <v>70</v>
      </c>
      <c r="R11" s="7" t="s">
        <v>77</v>
      </c>
      <c r="S11" s="7" t="s">
        <v>76</v>
      </c>
      <c r="T11" s="7" t="s">
        <v>72</v>
      </c>
      <c r="U11" s="7" t="s">
        <v>73</v>
      </c>
      <c r="V11" s="7" t="s">
        <v>58</v>
      </c>
      <c r="W11" s="7" t="s">
        <v>79</v>
      </c>
      <c r="X11" s="7" t="s">
        <v>84</v>
      </c>
      <c r="Y11" s="7" t="s">
        <v>90</v>
      </c>
      <c r="Z11" s="7" t="s">
        <v>85</v>
      </c>
      <c r="AA11" s="7" t="s">
        <v>86</v>
      </c>
      <c r="AB11" s="7" t="s">
        <v>87</v>
      </c>
      <c r="AC11" s="7" t="s">
        <v>88</v>
      </c>
      <c r="AD11" s="7" t="s">
        <v>89</v>
      </c>
      <c r="AE11" s="7" t="s">
        <v>14</v>
      </c>
      <c r="AF11" s="7" t="s">
        <v>15</v>
      </c>
      <c r="AG11" s="7" t="s">
        <v>17</v>
      </c>
      <c r="AH11" s="7" t="s">
        <v>18</v>
      </c>
    </row>
    <row r="12" spans="2:35" x14ac:dyDescent="0.25">
      <c r="B12" s="1" t="e" vm="5">
        <v>#VALUE!</v>
      </c>
      <c r="C12" s="3">
        <f t="shared" ref="C12:C18" si="0">_FV(B12,"Price")</f>
        <v>9.77</v>
      </c>
      <c r="D12" s="5" cm="1">
        <f t="array" ref="D12">_FV(B12,"Market cap",TRUE)/1000000</f>
        <v>2859.0729999999999</v>
      </c>
      <c r="E12" s="15">
        <f>(Table10[[#This Row],[Market Cap (MM)]]*1000000)/Table10[[#This Row],[Price]]</f>
        <v>292637973.38792223</v>
      </c>
      <c r="F12" s="15">
        <f>730*1000</f>
        <v>730000</v>
      </c>
      <c r="G12" s="15">
        <v>783000</v>
      </c>
      <c r="H12" s="15">
        <f>AVERAGE(820,790)*1000</f>
        <v>805000</v>
      </c>
      <c r="I12" s="15">
        <f>Table10[[#This Row],[2020E Guidance.Avg]]</f>
        <v>805000</v>
      </c>
      <c r="K12" s="21">
        <v>754</v>
      </c>
      <c r="L12" s="21">
        <v>713</v>
      </c>
      <c r="M12" s="21">
        <f>AVERAGE(820,870)</f>
        <v>845</v>
      </c>
      <c r="O12" s="4" cm="1">
        <f t="array" ref="O12">(Table1315[Price]*0.9)-Table10[[#This Row],[AISC 2020E Guidance]]</f>
        <v>720.91000000000008</v>
      </c>
      <c r="P12" s="11" cm="1">
        <f t="array" ref="P12">Table10[[#This Row],[2020 Margin]]/Table1315[Price]*0.9</f>
        <v>0.37290591413299617</v>
      </c>
      <c r="Q12" s="21">
        <f>Table10[[#This Row],[2020 Margin]]*Table10[[#This Row],[2020E Guidance Revised ]]</f>
        <v>580332550.00000012</v>
      </c>
      <c r="R12" s="9">
        <f>Table10[[#This Row],[2020 Ops CF]]/Table10[[#This Row],[S/O]]</f>
        <v>1.9831074664760224</v>
      </c>
      <c r="S12" s="10">
        <v>11.086</v>
      </c>
      <c r="T12" s="15">
        <f>85*1000000</f>
        <v>85000000</v>
      </c>
      <c r="U12" s="33">
        <f>(2.3-($H$2*0.95))*Table10[[#This Row],[Copper &amp; GEO]]</f>
        <v>9976875</v>
      </c>
      <c r="V12" s="27">
        <f>Table10[[#This Row],[2020 Ops CF-Copper]]+Table10[[#This Row],[2020 Ops CF]]</f>
        <v>590309425.00000012</v>
      </c>
      <c r="W12" s="9">
        <f>Table10[[#This Row],[Price]]/Table10[[#This Row],[CFPS]]</f>
        <v>4.9266114747484</v>
      </c>
      <c r="X12" s="40">
        <v>20.81</v>
      </c>
      <c r="Y12" s="1">
        <v>-0.32</v>
      </c>
      <c r="Z12" s="40">
        <v>17.22</v>
      </c>
      <c r="AA12" s="11">
        <f>(1.3-1.2)/1.2</f>
        <v>8.3333333333333412E-2</v>
      </c>
      <c r="AB12" s="11">
        <f>-0.0338</f>
        <v>-3.3799999999999997E-2</v>
      </c>
      <c r="AC12" s="11">
        <f>-0.0444</f>
        <v>-4.4400000000000002E-2</v>
      </c>
      <c r="AD12" s="11">
        <f>-0.068</f>
        <v>-6.8000000000000005E-2</v>
      </c>
      <c r="AE12" s="9">
        <f>933/245</f>
        <v>3.8081632653061224</v>
      </c>
      <c r="AF12" s="9">
        <f>43/245</f>
        <v>0.17551020408163265</v>
      </c>
      <c r="AG12" s="9">
        <f>636/2066</f>
        <v>0.30784123910939015</v>
      </c>
      <c r="AH12" s="9">
        <f>636/2702</f>
        <v>0.23538119911176905</v>
      </c>
    </row>
    <row r="13" spans="2:35" x14ac:dyDescent="0.25">
      <c r="B13" s="1" t="e" vm="48">
        <v>#VALUE!</v>
      </c>
      <c r="C13" s="4">
        <f t="shared" si="0"/>
        <v>23.44</v>
      </c>
      <c r="D13" s="5" cm="1">
        <f t="array" ref="D13">_FV(B13,"Market cap",TRUE)/1000000</f>
        <v>8714.4380000000001</v>
      </c>
      <c r="E13" s="15">
        <f>(Table10[[#This Row],[Market Cap (MM)]]*1000000)/Table10[[#This Row],[Price]]</f>
        <v>371776365.18771327</v>
      </c>
      <c r="F13" s="15">
        <f>3400*1000</f>
        <v>3400000</v>
      </c>
      <c r="G13" s="15">
        <f>3281*1000</f>
        <v>3281000</v>
      </c>
      <c r="H13" s="15">
        <f>AVERAGE(3050,3300)*1000</f>
        <v>3175000</v>
      </c>
      <c r="I13" s="15">
        <f>Table10[[#This Row],[2020E Guidance.Avg]]</f>
        <v>3175000</v>
      </c>
      <c r="K13" s="21">
        <v>976</v>
      </c>
      <c r="L13" s="21">
        <v>1162</v>
      </c>
      <c r="M13" s="21">
        <f>AVERAGE(1040,1100)</f>
        <v>1070</v>
      </c>
      <c r="O13" s="4" cm="1">
        <f t="array" ref="O13">(Table1315[Price]*0.9)-Table10[[#This Row],[AISC 2020E Guidance]]</f>
        <v>495.91000000000008</v>
      </c>
      <c r="P13" s="11" cm="1">
        <f t="array" ref="P13">Table10[[#This Row],[2020 Margin]]/Table1315[Price]*0.9</f>
        <v>0.25651991493764009</v>
      </c>
      <c r="Q13" s="21">
        <f>Table10[[#This Row],[2020 Margin]]*Table10[[#This Row],[2020E Guidance Revised ]]</f>
        <v>1574514250.0000002</v>
      </c>
      <c r="R13" s="9">
        <f>Table10[[#This Row],[2020 Ops CF]]/Table10[[#This Row],[S/O]]</f>
        <v>4.2351112051058264</v>
      </c>
      <c r="S13" s="10">
        <v>27</v>
      </c>
      <c r="U13" s="33">
        <f>(2.3-($H$2*0.95))*Table10[[#This Row],[Copper &amp; GEO]]</f>
        <v>0</v>
      </c>
      <c r="V13" s="27">
        <f>Table10[[#This Row],[2020 Ops CF-Copper]]+Table10[[#This Row],[2020 Ops CF]]</f>
        <v>1574514250.0000002</v>
      </c>
      <c r="W13" s="9">
        <f>Table10[[#This Row],[Price]]/Table10[[#This Row],[CFPS]]</f>
        <v>5.5346834746017688</v>
      </c>
      <c r="X13" s="40">
        <v>43.8</v>
      </c>
      <c r="Y13" s="1">
        <v>-0.03</v>
      </c>
      <c r="Z13" s="40">
        <v>20.45</v>
      </c>
      <c r="AA13" s="11">
        <f>(3.53-3.39)/3.39</f>
        <v>4.129793510324474E-2</v>
      </c>
      <c r="AB13" s="11">
        <v>-1E-3</v>
      </c>
      <c r="AC13" s="11">
        <v>-2.5999999999999999E-3</v>
      </c>
      <c r="AD13" s="11">
        <f>-0.002</f>
        <v>-2E-3</v>
      </c>
      <c r="AE13" s="9">
        <f>1982/1437</f>
        <v>1.3792623521224774</v>
      </c>
      <c r="AF13" s="9">
        <f>456/1437</f>
        <v>0.31732776617954073</v>
      </c>
      <c r="AG13" s="9">
        <f>4223/2640</f>
        <v>1.5996212121212121</v>
      </c>
      <c r="AH13" s="9">
        <f>4223/6863</f>
        <v>0.61532857351012682</v>
      </c>
    </row>
    <row r="14" spans="2:35" x14ac:dyDescent="0.25">
      <c r="B14" s="1" t="e" vm="7">
        <v>#VALUE!</v>
      </c>
      <c r="C14" s="3">
        <f t="shared" si="0"/>
        <v>8.5</v>
      </c>
      <c r="D14" s="5" cm="1">
        <f t="array" ref="D14">_FV(B14,"Market cap",TRUE)/1000000</f>
        <v>10860.91</v>
      </c>
      <c r="E14" s="15">
        <f>(Table10[[#This Row],[Market Cap (MM)]]*1000000)/Table10[[#This Row],[Price]]</f>
        <v>1277754117.6470587</v>
      </c>
      <c r="F14" s="15">
        <v>2452398</v>
      </c>
      <c r="G14" s="15">
        <v>2507659</v>
      </c>
      <c r="H14" s="15">
        <v>2400000</v>
      </c>
      <c r="I14" s="15">
        <f>Table10[[#This Row],[2020E Guidance.Avg]]</f>
        <v>2400000</v>
      </c>
      <c r="K14" s="21">
        <v>965</v>
      </c>
      <c r="L14" s="21">
        <v>983</v>
      </c>
      <c r="M14" s="21">
        <v>970</v>
      </c>
      <c r="O14" s="4" cm="1">
        <f t="array" ref="O14">(Table1315[Price]*0.9)-Table10[[#This Row],[AISC 2020E Guidance]]</f>
        <v>595.91000000000008</v>
      </c>
      <c r="P14" s="11" cm="1">
        <f t="array" ref="P14">Table10[[#This Row],[2020 Margin]]/Table1315[Price]*0.9</f>
        <v>0.30824702569113166</v>
      </c>
      <c r="Q14" s="21">
        <f>Table10[[#This Row],[2020 Margin]]*Table10[[#This Row],[2020E Guidance Revised ]]</f>
        <v>1430184000.0000002</v>
      </c>
      <c r="R14" s="9">
        <f>Table10[[#This Row],[2020 Ops CF]]/Table10[[#This Row],[S/O]]</f>
        <v>1.1192951603502841</v>
      </c>
      <c r="S14" s="10">
        <v>24.3</v>
      </c>
      <c r="U14" s="33">
        <f>(2.3-($H$2*0.95))*Table10[[#This Row],[Copper &amp; GEO]]</f>
        <v>0</v>
      </c>
      <c r="V14" s="27">
        <f>Table10[[#This Row],[2020 Ops CF-Copper]]+Table10[[#This Row],[2020 Ops CF]]</f>
        <v>1430184000.0000002</v>
      </c>
      <c r="W14" s="9">
        <f>Table10[[#This Row],[Price]]/Table10[[#This Row],[CFPS]]</f>
        <v>7.5940648196315976</v>
      </c>
      <c r="X14" s="40">
        <v>34.49</v>
      </c>
      <c r="Y14" s="1">
        <v>0.56999999999999995</v>
      </c>
      <c r="Z14" s="40">
        <f>Table10[[#This Row],[Price]]/Table10[[#This Row],[2019 EPS]]</f>
        <v>14.912280701754387</v>
      </c>
      <c r="AA14" s="11">
        <f>(3.5-3.3)</f>
        <v>0.20000000000000018</v>
      </c>
      <c r="AB14" s="11">
        <f>0.0839</f>
        <v>8.3900000000000002E-2</v>
      </c>
      <c r="AC14" s="11">
        <f>0.1463</f>
        <v>0.14630000000000001</v>
      </c>
      <c r="AD14" s="11">
        <f>0.2055</f>
        <v>0.20549999999999999</v>
      </c>
      <c r="AE14" s="9">
        <f>1825/616</f>
        <v>2.9626623376623376</v>
      </c>
      <c r="AF14" s="9">
        <f>575/616</f>
        <v>0.93344155844155841</v>
      </c>
      <c r="AG14" s="9">
        <f>3758/5319</f>
        <v>0.70652378266591465</v>
      </c>
      <c r="AH14" s="9">
        <f>3758/9076</f>
        <v>0.41405905685323929</v>
      </c>
    </row>
    <row r="15" spans="2:35" x14ac:dyDescent="0.25">
      <c r="B15" s="1" t="e" vm="39">
        <v>#VALUE!</v>
      </c>
      <c r="C15" s="3">
        <f t="shared" si="0"/>
        <v>6.43</v>
      </c>
      <c r="D15" s="5" cm="1">
        <f t="array" ref="D15">_FV(B15,"Market cap",TRUE)/1000000</f>
        <v>6529.8580000000002</v>
      </c>
      <c r="E15" s="15">
        <f>(Table10[[#This Row],[Market Cap (MM)]]*1000000)/Table10[[#This Row],[Price]]</f>
        <v>1015530015.5520996</v>
      </c>
      <c r="F15" s="15">
        <v>953504</v>
      </c>
      <c r="G15" s="15">
        <v>980219</v>
      </c>
      <c r="H15" s="15">
        <f>AVERAGE(1000,1055)*1000</f>
        <v>1027500</v>
      </c>
      <c r="I15" s="15">
        <f>Table10[[#This Row],[2020E Guidance.Avg]]</f>
        <v>1027500</v>
      </c>
      <c r="K15" s="21">
        <v>758</v>
      </c>
      <c r="L15" s="21">
        <v>862</v>
      </c>
      <c r="M15" s="21">
        <f>AVERAGE(820,780)</f>
        <v>800</v>
      </c>
      <c r="O15" s="4" cm="1">
        <f t="array" ref="O15">(Table1315[Price]*0.9)-Table10[[#This Row],[AISC 2020E Guidance]]</f>
        <v>765.91000000000008</v>
      </c>
      <c r="P15" s="11" cm="1">
        <f t="array" ref="P15">Table10[[#This Row],[2020 Margin]]/Table1315[Price]*0.9</f>
        <v>0.3961831139720674</v>
      </c>
      <c r="Q15" s="21">
        <f>Table10[[#This Row],[2020 Margin]]*Table10[[#This Row],[2020E Guidance Revised ]]</f>
        <v>786972525.00000012</v>
      </c>
      <c r="R15" s="9">
        <f>Table10[[#This Row],[2020 Ops CF]]/Table10[[#This Row],[S/O]]</f>
        <v>0.77493773000117316</v>
      </c>
      <c r="S15" s="10">
        <v>5.82</v>
      </c>
      <c r="U15" s="33">
        <f>(2.3-($H$2*0.95))*Table10[[#This Row],[Copper &amp; GEO]]</f>
        <v>0</v>
      </c>
      <c r="V15" s="27">
        <f>Table10[[#This Row],[2020 Ops CF-Copper]]+Table10[[#This Row],[2020 Ops CF]]</f>
        <v>786972525.00000012</v>
      </c>
      <c r="W15" s="9">
        <f>Table10[[#This Row],[Price]]/Table10[[#This Row],[CFPS]]</f>
        <v>8.2974408795275281</v>
      </c>
      <c r="X15" s="40">
        <v>398.85</v>
      </c>
      <c r="Y15" s="1">
        <v>0.28999999999999998</v>
      </c>
      <c r="Z15" s="40">
        <f>Table10[[#This Row],[Price]]/Table10[[#This Row],[2019 EPS]]</f>
        <v>22.172413793103448</v>
      </c>
      <c r="AA15" s="11">
        <f>(1.16-0.64)/0.64</f>
        <v>0.81249999999999989</v>
      </c>
      <c r="AB15" s="11">
        <v>0.112</v>
      </c>
      <c r="AC15" s="11">
        <v>0.16289999999999999</v>
      </c>
      <c r="AD15" s="11">
        <v>0.25390000000000001</v>
      </c>
      <c r="AE15" s="9">
        <f>407/165</f>
        <v>2.4666666666666668</v>
      </c>
      <c r="AF15" s="9">
        <f>141/165</f>
        <v>0.8545454545454545</v>
      </c>
      <c r="AG15" s="9">
        <f>693/1990</f>
        <v>0.34824120603015074</v>
      </c>
      <c r="AH15" s="9">
        <f>693/2683</f>
        <v>0.25829295564666416</v>
      </c>
    </row>
    <row r="16" spans="2:35" x14ac:dyDescent="0.25">
      <c r="B16" s="1" t="e" vm="52">
        <v>#VALUE!</v>
      </c>
      <c r="C16" s="3">
        <f t="shared" si="0"/>
        <v>5.92</v>
      </c>
      <c r="D16" s="5" cm="1">
        <f t="array" ref="D16">_FV(B16,"Market cap",TRUE)/1000000</f>
        <v>5471.223</v>
      </c>
      <c r="E16" s="15">
        <f>(Table10[[#This Row],[Market Cap (MM)]]*1000000)/Table10[[#This Row],[Price]]</f>
        <v>924193074.32432437</v>
      </c>
      <c r="F16" s="15">
        <v>1133635</v>
      </c>
      <c r="G16" s="15">
        <v>1024454</v>
      </c>
      <c r="H16" s="15">
        <v>990000</v>
      </c>
      <c r="I16" s="15">
        <f>Table10[[#This Row],[2020E Guidance.Avg]]</f>
        <v>990000</v>
      </c>
      <c r="K16" s="21">
        <v>971</v>
      </c>
      <c r="L16" s="21">
        <v>978</v>
      </c>
      <c r="M16" s="21">
        <v>999</v>
      </c>
      <c r="O16" s="4" cm="1">
        <f t="array" ref="O16">(Table1315[Price]*0.9)-Table10[[#This Row],[AISC 2020E Guidance]]</f>
        <v>566.91000000000008</v>
      </c>
      <c r="P16" s="11" cm="1">
        <f t="array" ref="P16">Table10[[#This Row],[2020 Margin]]/Table1315[Price]*0.9</f>
        <v>0.29324616357261918</v>
      </c>
      <c r="Q16" s="21">
        <f>Table10[[#This Row],[2020 Margin]]*Table10[[#This Row],[2020E Guidance Revised ]]</f>
        <v>561240900.00000012</v>
      </c>
      <c r="R16" s="9">
        <f>Table10[[#This Row],[2020 Ops CF]]/Table10[[#This Row],[S/O]]</f>
        <v>0.60727667799320195</v>
      </c>
      <c r="S16" s="10">
        <v>7.8</v>
      </c>
      <c r="U16" s="33">
        <f>(2.3-($H$2*0.95))*Table10[[#This Row],[Copper &amp; GEO]]</f>
        <v>0</v>
      </c>
      <c r="V16" s="27">
        <f>Table10[[#This Row],[2020 Ops CF-Copper]]+Table10[[#This Row],[2020 Ops CF]]</f>
        <v>561240900.00000012</v>
      </c>
      <c r="W16" s="9">
        <f>Table10[[#This Row],[Price]]/Table10[[#This Row],[CFPS]]</f>
        <v>9.7484395738086782</v>
      </c>
      <c r="X16" s="40">
        <v>24.59</v>
      </c>
      <c r="Y16" s="1">
        <v>0.24</v>
      </c>
      <c r="Z16" s="40">
        <f>Table10[[#This Row],[Price]]/Table10[[#This Row],[2019 EPS]]</f>
        <v>24.666666666666668</v>
      </c>
      <c r="AA16" s="11">
        <f>(1.61-1.8)/1.8</f>
        <v>-0.10555555555555553</v>
      </c>
      <c r="AB16" s="11">
        <v>2.98E-2</v>
      </c>
      <c r="AC16" s="11">
        <v>5.5199999999999999E-2</v>
      </c>
      <c r="AD16" s="11">
        <v>0.1399</v>
      </c>
      <c r="AE16" s="9">
        <f>402/408.4</f>
        <v>0.98432908912830563</v>
      </c>
      <c r="AF16" s="9">
        <f>158.8/408.4</f>
        <v>0.38883447600391779</v>
      </c>
      <c r="AG16" s="9">
        <f>2897.3/4219.9</f>
        <v>0.6865802507168417</v>
      </c>
      <c r="AH16" s="9">
        <f>2897.3/7117.2</f>
        <v>0.40708424661383696</v>
      </c>
    </row>
    <row r="17" spans="2:34" x14ac:dyDescent="0.25">
      <c r="B17" s="1" t="e" vm="55">
        <v>#VALUE!</v>
      </c>
      <c r="C17" s="3">
        <f t="shared" si="0"/>
        <v>10.94</v>
      </c>
      <c r="D17" s="5" cm="1">
        <f t="array" ref="D17">_FV(B17,"Market cap",TRUE)/1000000</f>
        <v>2039.2380000000001</v>
      </c>
      <c r="E17" s="15">
        <f>(Table10[[#This Row],[Market Cap (MM)]]*1000000)/Table10[[#This Row],[Price]]</f>
        <v>186402010.96892139</v>
      </c>
      <c r="F17" s="15">
        <v>367428</v>
      </c>
      <c r="G17" s="15">
        <v>351348</v>
      </c>
      <c r="H17" s="15">
        <f>AVERAGE(325,365)*1000</f>
        <v>345000</v>
      </c>
      <c r="I17" s="15">
        <f>Table10[[#This Row],[2020E Guidance.Avg]]</f>
        <v>345000</v>
      </c>
      <c r="K17" s="21">
        <v>745</v>
      </c>
      <c r="L17" s="21">
        <v>888</v>
      </c>
      <c r="M17" s="21">
        <f>AVERAGE(910,1060)</f>
        <v>985</v>
      </c>
      <c r="O17" s="4" cm="1">
        <f t="array" ref="O17">(Table1315[Price]*0.9)-Table10[[#This Row],[AISC 2020E Guidance]]</f>
        <v>580.91000000000008</v>
      </c>
      <c r="P17" s="11" cm="1">
        <f t="array" ref="P17">Table10[[#This Row],[2020 Margin]]/Table1315[Price]*0.9</f>
        <v>0.30048795907810799</v>
      </c>
      <c r="Q17" s="21">
        <f>Table10[[#This Row],[2020 Margin]]*Table10[[#This Row],[2020E Guidance Revised ]]</f>
        <v>200413950.00000003</v>
      </c>
      <c r="R17" s="9">
        <f>Table10[[#This Row],[2020 Ops CF]]/Table10[[#This Row],[S/O]]</f>
        <v>1.0751705357589454</v>
      </c>
      <c r="S17" s="10">
        <v>3.6</v>
      </c>
      <c r="U17" s="33">
        <f>(2.3-($H$2*0.95))*Table10[[#This Row],[Copper &amp; GEO]]</f>
        <v>0</v>
      </c>
      <c r="V17" s="27">
        <f>Table10[[#This Row],[2020 Ops CF-Copper]]+Table10[[#This Row],[2020 Ops CF]]</f>
        <v>200413950.00000003</v>
      </c>
      <c r="W17" s="9">
        <f>Table10[[#This Row],[Price]]/Table10[[#This Row],[CFPS]]</f>
        <v>10.175130024631518</v>
      </c>
      <c r="X17" s="40">
        <v>92.18</v>
      </c>
      <c r="Y17" s="1">
        <v>0.22</v>
      </c>
      <c r="Z17" s="40">
        <f>Table10[[#This Row],[Price]]/Table10[[#This Row],[2019 EPS]]</f>
        <v>49.727272727272727</v>
      </c>
      <c r="AA17" s="11">
        <f>(485-178)/178</f>
        <v>1.7247191011235956</v>
      </c>
      <c r="AB17" s="11">
        <v>2.5700000000000001E-2</v>
      </c>
      <c r="AC17" s="11">
        <v>4.41E-2</v>
      </c>
      <c r="AD17" s="11">
        <v>8.4400000000000003E-2</v>
      </c>
      <c r="AE17" s="9">
        <f>63/129</f>
        <v>0.48837209302325579</v>
      </c>
      <c r="AF17" s="9">
        <f>23/129</f>
        <v>0.17829457364341086</v>
      </c>
      <c r="AG17" s="9">
        <f>619/954</f>
        <v>0.64884696016771493</v>
      </c>
      <c r="AH17" s="9">
        <f>619/1573</f>
        <v>0.39351557533375714</v>
      </c>
    </row>
    <row r="18" spans="2:34" x14ac:dyDescent="0.25">
      <c r="B18" s="1" t="e" vm="6">
        <v>#VALUE!</v>
      </c>
      <c r="C18" s="3">
        <f t="shared" si="0"/>
        <v>6.79</v>
      </c>
      <c r="D18" s="5" cm="1">
        <f t="array" ref="D18">_FV(B18,"Market cap",TRUE)/1000000</f>
        <v>3750.355</v>
      </c>
      <c r="E18" s="15">
        <f>(Table10[[#This Row],[Market Cap (MM)]]*1000000)/Table10[[#This Row],[Price]]</f>
        <v>552335051.54639173</v>
      </c>
      <c r="F18" s="15">
        <v>505000</v>
      </c>
      <c r="G18" s="15">
        <v>495500</v>
      </c>
      <c r="H18" s="15">
        <f>AVERAGE(425,465)*1000</f>
        <v>445000</v>
      </c>
      <c r="I18" s="15">
        <f>Table10[[#This Row],[2020E Guidance.Avg]]</f>
        <v>445000</v>
      </c>
      <c r="K18" s="21">
        <v>989</v>
      </c>
      <c r="L18" s="21">
        <v>951</v>
      </c>
      <c r="M18" s="21">
        <f>AVERAGE(1020,1060)</f>
        <v>1040</v>
      </c>
      <c r="O18" s="4" cm="1">
        <f t="array" ref="O18">(Table1315[Price]*0.9)-Table10[[#This Row],[AISC 2020E Guidance]]</f>
        <v>525.91000000000008</v>
      </c>
      <c r="P18" s="11" cm="1">
        <f t="array" ref="P18">Table10[[#This Row],[2020 Margin]]/Table1315[Price]*0.9</f>
        <v>0.2720380481636876</v>
      </c>
      <c r="Q18" s="21">
        <f>Table10[[#This Row],[2020 Margin]]*Table10[[#This Row],[2020E Guidance Revised ]]</f>
        <v>234029950.00000003</v>
      </c>
      <c r="R18" s="9">
        <f>Table10[[#This Row],[2020 Ops CF]]/Table10[[#This Row],[S/O]]</f>
        <v>0.42371011824213983</v>
      </c>
      <c r="S18" s="10">
        <v>9.7260000000000009</v>
      </c>
      <c r="U18" s="33">
        <f>(2.3-($H$2*0.95))*Table10[[#This Row],[Copper &amp; GEO]]</f>
        <v>0</v>
      </c>
      <c r="V18" s="27">
        <f>Table10[[#This Row],[2020 Ops CF-Copper]]+Table10[[#This Row],[2020 Ops CF]]</f>
        <v>234029950.00000003</v>
      </c>
      <c r="W18" s="9">
        <f>Table10[[#This Row],[Price]]/Table10[[#This Row],[CFPS]]</f>
        <v>16.025107042923349</v>
      </c>
      <c r="X18" s="40">
        <f>7.83/Table10[[#This Row],[2019 EPS]]</f>
        <v>31.32</v>
      </c>
      <c r="Y18" s="1">
        <v>0.25</v>
      </c>
      <c r="Z18" s="48">
        <f>Table10[[#This Row],[Price]]/Table10[[#This Row],[2019 EPS]]</f>
        <v>27.16</v>
      </c>
      <c r="AA18" s="11">
        <f>(683.1-542.8)/542.8</f>
        <v>0.25847457627118658</v>
      </c>
      <c r="AB18" s="11">
        <v>2.8899999999999999E-2</v>
      </c>
      <c r="AC18" s="11">
        <v>3.6299999999999999E-2</v>
      </c>
      <c r="AD18" s="11">
        <v>0.14069999999999999</v>
      </c>
      <c r="AE18" s="9">
        <f>394/127</f>
        <v>3.1023622047244093</v>
      </c>
      <c r="AF18" s="9">
        <f>183/127</f>
        <v>1.4409448818897639</v>
      </c>
      <c r="AG18" s="9">
        <f>701/2695</f>
        <v>0.26011131725417441</v>
      </c>
      <c r="AH18" s="9">
        <f>701/3397</f>
        <v>0.20635855166323228</v>
      </c>
    </row>
    <row r="19" spans="2:34" x14ac:dyDescent="0.25">
      <c r="B19" s="1" t="s">
        <v>93</v>
      </c>
      <c r="E19" s="43"/>
      <c r="X19" s="40">
        <f>SUBTOTAL(101,Table10[2019 P/E])</f>
        <v>92.291428571428582</v>
      </c>
      <c r="Z19" s="40">
        <f>SUBTOTAL(101,Table10[2020 P/E])</f>
        <v>25.186947698399603</v>
      </c>
      <c r="AA19" s="47">
        <f>SUBTOTAL(101,Table10[REV 3Yr Growth])</f>
        <v>0.43068134146797205</v>
      </c>
      <c r="AB19" s="47">
        <f>SUBTOTAL(101,Table10[ROA% TTM ])</f>
        <v>3.5071428571428573E-2</v>
      </c>
      <c r="AC19" s="47">
        <f>SUBTOTAL(101,Table10[ROE % TTM ])</f>
        <v>5.6828571428571437E-2</v>
      </c>
      <c r="AD19" s="47">
        <f>SUBTOTAL(101,Table10[Net Margin% TTM])</f>
        <v>0.10777142857142856</v>
      </c>
      <c r="AE19" s="9">
        <f>SUBTOTAL(101,Table10[Current Ratio])</f>
        <v>2.1702597155190819</v>
      </c>
      <c r="AF19" s="9">
        <f>SUBTOTAL(101,Table10[Cash Ratio])</f>
        <v>0.6126998449693255</v>
      </c>
      <c r="AG19" s="9">
        <f>SUBTOTAL(101,Table10[Debt-Equity])</f>
        <v>0.6511094240093428</v>
      </c>
      <c r="AH19" s="9">
        <f>SUBTOTAL(101,Table10[Debt-Assest])</f>
        <v>0.36143145124751797</v>
      </c>
    </row>
    <row r="20" spans="2:34" x14ac:dyDescent="0.25">
      <c r="B20" s="7" t="s">
        <v>0</v>
      </c>
      <c r="C20" s="8" t="s">
        <v>10</v>
      </c>
      <c r="D20" s="8" t="s">
        <v>45</v>
      </c>
      <c r="E20" s="8" t="s">
        <v>78</v>
      </c>
      <c r="F20" s="7" t="s">
        <v>11</v>
      </c>
      <c r="G20" s="7" t="s">
        <v>12</v>
      </c>
      <c r="H20" s="7" t="s">
        <v>57</v>
      </c>
      <c r="I20" s="7" t="s">
        <v>60</v>
      </c>
      <c r="J20" s="7" t="s">
        <v>59</v>
      </c>
      <c r="K20" s="7" t="s">
        <v>62</v>
      </c>
      <c r="L20" s="7" t="s">
        <v>61</v>
      </c>
      <c r="M20" s="7" t="s">
        <v>63</v>
      </c>
      <c r="N20" s="7" t="s">
        <v>64</v>
      </c>
      <c r="O20" s="7" t="s">
        <v>68</v>
      </c>
      <c r="P20" s="7" t="s">
        <v>74</v>
      </c>
      <c r="Q20" s="7" t="s">
        <v>70</v>
      </c>
      <c r="R20" s="39" t="s">
        <v>77</v>
      </c>
      <c r="S20" s="7" t="s">
        <v>76</v>
      </c>
      <c r="T20" s="7" t="s">
        <v>72</v>
      </c>
      <c r="U20" s="7" t="s">
        <v>73</v>
      </c>
      <c r="V20" s="7" t="s">
        <v>58</v>
      </c>
      <c r="W20" s="7" t="s">
        <v>79</v>
      </c>
      <c r="X20" s="7" t="s">
        <v>84</v>
      </c>
      <c r="Y20" s="7" t="s">
        <v>90</v>
      </c>
      <c r="Z20" s="7" t="s">
        <v>85</v>
      </c>
      <c r="AA20" s="7" t="s">
        <v>86</v>
      </c>
      <c r="AB20" s="7" t="s">
        <v>87</v>
      </c>
      <c r="AC20" s="7" t="s">
        <v>88</v>
      </c>
      <c r="AD20" s="7" t="s">
        <v>89</v>
      </c>
      <c r="AE20" s="7" t="s">
        <v>14</v>
      </c>
      <c r="AF20" s="7" t="s">
        <v>15</v>
      </c>
      <c r="AG20" s="7" t="s">
        <v>17</v>
      </c>
      <c r="AH20" s="7" t="s">
        <v>18</v>
      </c>
    </row>
    <row r="21" spans="2:34" x14ac:dyDescent="0.25">
      <c r="B21" s="1" t="e" vm="1">
        <v>#VALUE!</v>
      </c>
      <c r="C21" s="3">
        <f t="shared" ref="C21:C40" si="1">_FV(B21,"Price")</f>
        <v>2.61</v>
      </c>
      <c r="D21" s="5" cm="1">
        <f t="array" ref="D21">_FV(B21,"Market cap",TRUE)/1000000</f>
        <v>1583.9780000000001</v>
      </c>
      <c r="E21" s="15">
        <f>(Table11[[#This Row],[Market Cap (MM)]]*1000000)/Table11[[#This Row],[Price]]</f>
        <v>606888122.60536397</v>
      </c>
      <c r="F21" s="15">
        <v>472418</v>
      </c>
      <c r="G21" s="15">
        <v>480529</v>
      </c>
      <c r="H21" s="15">
        <f>AVERAGE(510,540)*1000</f>
        <v>525000</v>
      </c>
      <c r="I21" s="15">
        <f>Table11[[#This Row],[2020E Guidance.Avg]]</f>
        <v>525000</v>
      </c>
      <c r="K21" s="21">
        <v>884</v>
      </c>
      <c r="L21" s="21">
        <v>943</v>
      </c>
      <c r="M21" s="21">
        <f>AVERAGE(920,870)</f>
        <v>895</v>
      </c>
      <c r="O21" s="4" cm="1">
        <f t="array" ref="O21">(Table1315[Price]*0.9)-Table11[[#This Row],[AISC 2020E Guidance]]</f>
        <v>670.91000000000008</v>
      </c>
      <c r="P21" s="11" cm="1">
        <f t="array" ref="P21">Table11[[#This Row],[2020 Margin]]/Table1315[Price]*0.9</f>
        <v>0.34704235875625039</v>
      </c>
      <c r="Q21" s="21">
        <f>Table11[[#This Row],[2020 Margin]]*Table11[[#This Row],[2020E Guidance Revised ]]</f>
        <v>352227750.00000006</v>
      </c>
      <c r="R21" s="9">
        <f>Table11[[#This Row],[2020 Ops CF]]/Table11[[#This Row],[S/O]]</f>
        <v>0.58038333076595772</v>
      </c>
      <c r="S21" s="10">
        <v>7.25</v>
      </c>
      <c r="T21" s="1">
        <v>0</v>
      </c>
      <c r="U21" s="1">
        <v>0</v>
      </c>
      <c r="V21" s="27">
        <f>Table11[[#This Row],[2020 Ops CF-Copper]]+Table11[[#This Row],[2020 Ops CF]]</f>
        <v>352227750.00000006</v>
      </c>
      <c r="W21" s="27">
        <f>Table11[[#This Row],[Price]]/Table11[[#This Row],[CFPS]]</f>
        <v>4.4970278463295399</v>
      </c>
      <c r="X21" s="40">
        <v>35.33</v>
      </c>
      <c r="Y21" s="1">
        <v>7.0000000000000007E-2</v>
      </c>
      <c r="Z21" s="48">
        <f>Table11[[#This Row],[Price]]/Table11[[#This Row],[2019 EPS]]</f>
        <v>37.285714285714278</v>
      </c>
      <c r="AA21" s="11">
        <f>(652.3-687.39)/687.39</f>
        <v>-5.1048167706833139E-2</v>
      </c>
      <c r="AB21" s="11">
        <v>0.04</v>
      </c>
      <c r="AC21" s="11">
        <v>4.19E-2</v>
      </c>
      <c r="AD21" s="11">
        <v>8.9800000000000005E-2</v>
      </c>
      <c r="AE21" s="9">
        <f>420/47</f>
        <v>8.9361702127659566</v>
      </c>
      <c r="AF21" s="9">
        <f>283/47</f>
        <v>6.0212765957446805</v>
      </c>
      <c r="AG21" s="9">
        <f>61/1287</f>
        <v>4.73970473970474E-2</v>
      </c>
      <c r="AH21" s="9">
        <f>61/1348</f>
        <v>4.5252225519287835E-2</v>
      </c>
    </row>
    <row r="22" spans="2:34" x14ac:dyDescent="0.25">
      <c r="B22" s="28" t="e" vm="41">
        <v>#VALUE!</v>
      </c>
      <c r="C22" s="3">
        <f t="shared" si="1"/>
        <v>11.96</v>
      </c>
      <c r="D22" s="5" cm="1">
        <f t="array" ref="D22">_FV(B22,"Market cap",TRUE)/1000000</f>
        <v>1990.627</v>
      </c>
      <c r="E22" s="15">
        <f>(Table11[[#This Row],[Market Cap (MM)]]*1000000)/Table11[[#This Row],[Price]]</f>
        <v>166440384.61538461</v>
      </c>
      <c r="F22" s="15">
        <v>313797</v>
      </c>
      <c r="G22" s="15">
        <v>395331</v>
      </c>
      <c r="H22" s="15">
        <v>535000</v>
      </c>
      <c r="I22" s="15">
        <f>Table11[[#This Row],[2020E Guidance.Avg]]</f>
        <v>535000</v>
      </c>
      <c r="K22" s="21">
        <v>994</v>
      </c>
      <c r="L22" s="21">
        <v>1034</v>
      </c>
      <c r="M22" s="21">
        <v>900</v>
      </c>
      <c r="O22" s="4" cm="1">
        <f t="array" ref="O22">(Table1315[Price]*0.9)-Table11[[#This Row],[AISC 2020E Guidance]]</f>
        <v>665.91000000000008</v>
      </c>
      <c r="P22" s="11" cm="1">
        <f t="array" ref="P22">Table11[[#This Row],[2020 Margin]]/Table1315[Price]*0.9</f>
        <v>0.34445600321857583</v>
      </c>
      <c r="Q22" s="21">
        <f>Table11[[#This Row],[2020 Margin]]*Table11[[#This Row],[2020E Guidance Revised ]]</f>
        <v>356261850.00000006</v>
      </c>
      <c r="R22" s="9">
        <f>Table11[[#This Row],[2020 Ops CF]]/Table11[[#This Row],[S/O]]</f>
        <v>2.1404772094420506</v>
      </c>
      <c r="S22" s="41">
        <v>16.359000000000002</v>
      </c>
      <c r="T22" s="1">
        <v>0</v>
      </c>
      <c r="U22" s="1">
        <v>0</v>
      </c>
      <c r="V22" s="27">
        <f>Table11[[#This Row],[2020 Ops CF-Copper]]+Table11[[#This Row],[2020 Ops CF]]</f>
        <v>356261850.00000006</v>
      </c>
      <c r="W22" s="27">
        <f>Table11[[#This Row],[Price]]/Table11[[#This Row],[CFPS]]</f>
        <v>5.5875390530869353</v>
      </c>
      <c r="X22" s="40">
        <f>10.43/Table11[[#This Row],[2019 EPS]]</f>
        <v>20.450980392156861</v>
      </c>
      <c r="Y22" s="1">
        <v>0.51</v>
      </c>
      <c r="Z22" s="48">
        <f>Table11[[#This Row],[Price]]/Table11[[#This Row],[2019 EPS]]</f>
        <v>23.450980392156865</v>
      </c>
      <c r="AA22" s="11">
        <f>(618-391)/391</f>
        <v>0.58056265984654731</v>
      </c>
      <c r="AB22" s="11">
        <v>1.7399999999999999E-2</v>
      </c>
      <c r="AC22" s="11">
        <v>2.41E-2</v>
      </c>
      <c r="AD22" s="11">
        <v>0.13039999999999999</v>
      </c>
      <c r="AE22" s="9">
        <f>436/222</f>
        <v>1.9639639639639639</v>
      </c>
      <c r="AF22" s="9">
        <f>178/222</f>
        <v>0.80180180180180183</v>
      </c>
      <c r="AG22" s="9">
        <f>1234/3415</f>
        <v>0.36134699853587116</v>
      </c>
      <c r="AH22" s="9">
        <f>1234/4649</f>
        <v>0.26543342654334268</v>
      </c>
    </row>
    <row r="23" spans="2:34" x14ac:dyDescent="0.25">
      <c r="B23" s="1" t="e" vm="3">
        <v>#VALUE!</v>
      </c>
      <c r="C23" s="3">
        <f t="shared" si="1"/>
        <v>4.29</v>
      </c>
      <c r="D23" s="5" cm="1">
        <f t="array" ref="D23">_FV(B23,"Market cap",TRUE)/1000000</f>
        <v>2010.328</v>
      </c>
      <c r="E23" s="15">
        <f>(Table11[[#This Row],[Market Cap (MM)]]*1000000)/Table11[[#This Row],[Price]]</f>
        <v>468607925.40792543</v>
      </c>
      <c r="F23" s="15">
        <v>882000</v>
      </c>
      <c r="G23" s="15">
        <v>762000</v>
      </c>
      <c r="H23" s="15">
        <v>730000</v>
      </c>
      <c r="I23" s="15">
        <f>Table11[[#This Row],[2020E Guidance.Avg]]</f>
        <v>730000</v>
      </c>
      <c r="K23" s="21">
        <v>1068</v>
      </c>
      <c r="L23" s="21">
        <v>1141</v>
      </c>
      <c r="M23" s="21">
        <v>1125</v>
      </c>
      <c r="O23" s="4" cm="1">
        <f t="array" ref="O23">(Table1315[Price]*0.9)-Table11[[#This Row],[AISC 2020E Guidance]]</f>
        <v>440.91000000000008</v>
      </c>
      <c r="P23" s="11" cm="1">
        <f t="array" ref="P23">Table11[[#This Row],[2020 Margin]]/Table1315[Price]*0.9</f>
        <v>0.22807000402321975</v>
      </c>
      <c r="Q23" s="21">
        <f>Table11[[#This Row],[2020 Margin]]*Table11[[#This Row],[2020E Guidance Revised ]]</f>
        <v>321864300.00000006</v>
      </c>
      <c r="R23" s="9">
        <f>Table11[[#This Row],[2020 Ops CF]]/Table11[[#This Row],[S/O]]</f>
        <v>0.68685201967042209</v>
      </c>
      <c r="S23" s="10">
        <v>16.706</v>
      </c>
      <c r="T23" s="1">
        <v>0</v>
      </c>
      <c r="U23" s="1">
        <v>0</v>
      </c>
      <c r="V23" s="27">
        <f>Table11[[#This Row],[2020 Ops CF-Copper]]+Table11[[#This Row],[2020 Ops CF]]</f>
        <v>321864300.00000006</v>
      </c>
      <c r="W23" s="27">
        <f>Table11[[#This Row],[Price]]/Table11[[#This Row],[CFPS]]</f>
        <v>6.2458868535590915</v>
      </c>
      <c r="X23" s="40">
        <f>4.85/Table11[[#This Row],[2019 EPS]]</f>
        <v>-5.5113636363636358</v>
      </c>
      <c r="Y23" s="1">
        <v>-0.88</v>
      </c>
      <c r="Z23" s="48">
        <f>Table11[[#This Row],[Price]]/Table11[[#This Row],[2019 EPS]]</f>
        <v>-4.875</v>
      </c>
      <c r="AA23" s="11">
        <f>(1.07-1.09)/1.09</f>
        <v>-1.8348623853211024E-2</v>
      </c>
      <c r="AB23" s="11">
        <v>-0.1055</v>
      </c>
      <c r="AC23" s="11">
        <v>-0.16250000000000001</v>
      </c>
      <c r="AD23" s="11">
        <v>-0.38729999999999998</v>
      </c>
      <c r="AE23" s="9">
        <f>1263/266</f>
        <v>4.7481203007518795</v>
      </c>
      <c r="AF23" s="9">
        <f>831/266</f>
        <v>3.1240601503759398</v>
      </c>
      <c r="AG23" s="9">
        <f>1516/2346</f>
        <v>0.64620630861040074</v>
      </c>
      <c r="AH23" s="9">
        <f>1516/3862</f>
        <v>0.3925427239772139</v>
      </c>
    </row>
    <row r="24" spans="2:34" x14ac:dyDescent="0.25">
      <c r="B24" s="36" t="e" vm="50">
        <v>#VALUE!</v>
      </c>
      <c r="C24" s="3">
        <f t="shared" si="1"/>
        <v>10.210000000000001</v>
      </c>
      <c r="D24" s="5" cm="1">
        <f t="array" ref="D24">_FV(B24,"Market cap",TRUE)/1000000</f>
        <v>2138.19</v>
      </c>
      <c r="E24" s="15">
        <f>(Table11[[#This Row],[Market Cap (MM)]]*1000000)/Table11[[#This Row],[Price]]</f>
        <v>209421155.72967678</v>
      </c>
      <c r="F24" s="15">
        <v>0</v>
      </c>
      <c r="G24" s="15">
        <v>28678</v>
      </c>
      <c r="H24" s="15">
        <v>280000</v>
      </c>
      <c r="I24" s="15">
        <f>Table11[[#This Row],[2020E Guidance.Avg]]</f>
        <v>280000</v>
      </c>
      <c r="K24" s="21">
        <v>0</v>
      </c>
      <c r="L24" s="21">
        <v>621</v>
      </c>
      <c r="M24" s="21">
        <v>621</v>
      </c>
      <c r="O24" s="4" cm="1">
        <f t="array" ref="O24">(Table1315[Price]*0.9)-Table11[[#This Row],[AISC 2020E Guidance]]</f>
        <v>944.91000000000008</v>
      </c>
      <c r="P24" s="11" cm="1">
        <f t="array" ref="P24">Table11[[#This Row],[2020 Margin]]/Table1315[Price]*0.9</f>
        <v>0.48877464222081735</v>
      </c>
      <c r="Q24" s="21">
        <f>Table11[[#This Row],[2020 Margin]]*Table11[[#This Row],[2020E Guidance Revised ]]</f>
        <v>264574800.00000003</v>
      </c>
      <c r="R24" s="9">
        <f>Table11[[#This Row],[2020 Ops CF]]/Table11[[#This Row],[S/O]]</f>
        <v>1.2633623335624993</v>
      </c>
      <c r="S24" s="10">
        <v>4.8159999999999998</v>
      </c>
      <c r="T24" s="1">
        <v>0</v>
      </c>
      <c r="U24" s="1">
        <v>0</v>
      </c>
      <c r="V24" s="27">
        <f>Table11[[#This Row],[2020 Ops CF-Copper]]+Table11[[#This Row],[2020 Ops CF]]</f>
        <v>264574800.00000003</v>
      </c>
      <c r="W24" s="27">
        <f>Table11[[#This Row],[Price]]/Table11[[#This Row],[CFPS]]</f>
        <v>8.0816086792846473</v>
      </c>
      <c r="X24" s="40">
        <v>0</v>
      </c>
      <c r="Y24" s="40">
        <v>0</v>
      </c>
      <c r="Z24" s="40">
        <v>0</v>
      </c>
      <c r="AA24" s="40">
        <v>0</v>
      </c>
      <c r="AB24" s="40">
        <v>0</v>
      </c>
      <c r="AC24" s="40">
        <v>0</v>
      </c>
      <c r="AD24" s="40">
        <v>0</v>
      </c>
      <c r="AE24" s="9">
        <f>149/116</f>
        <v>1.2844827586206897</v>
      </c>
      <c r="AF24" s="9">
        <f>76/116</f>
        <v>0.65517241379310343</v>
      </c>
      <c r="AG24" s="9">
        <f>942/467</f>
        <v>2.0171306209850108</v>
      </c>
      <c r="AH24" s="9">
        <f>942/1409</f>
        <v>0.66855926188786374</v>
      </c>
    </row>
    <row r="25" spans="2:34" x14ac:dyDescent="0.25">
      <c r="B25" s="1" t="e" vm="4">
        <v>#VALUE!</v>
      </c>
      <c r="C25" s="3">
        <f t="shared" si="1"/>
        <v>21.53</v>
      </c>
      <c r="D25" s="5" cm="1">
        <f t="array" ref="D25">_FV(B25,"Market cap",TRUE)/1000000</f>
        <v>1932.4259999999999</v>
      </c>
      <c r="E25" s="15">
        <f>(Table11[[#This Row],[Market Cap (MM)]]*1000000)/Table11[[#This Row],[Price]]</f>
        <v>89755039.479795635</v>
      </c>
      <c r="F25" s="15">
        <v>347090</v>
      </c>
      <c r="G25" s="15">
        <v>421828</v>
      </c>
      <c r="H25" s="15">
        <v>425000</v>
      </c>
      <c r="I25" s="15">
        <f>Table11[[#This Row],[2020E Guidance.Avg]]</f>
        <v>425000</v>
      </c>
      <c r="K25" s="21">
        <v>1088</v>
      </c>
      <c r="L25" s="21">
        <v>1087</v>
      </c>
      <c r="M25" s="21">
        <v>1087</v>
      </c>
      <c r="O25" s="4" cm="1">
        <f t="array" ref="O25">(Table1315[Price]*0.9)-Table11[[#This Row],[AISC 2020E Guidance]]</f>
        <v>478.91000000000008</v>
      </c>
      <c r="P25" s="11" cm="1">
        <f t="array" ref="P25">Table11[[#This Row],[2020 Margin]]/Table1315[Price]*0.9</f>
        <v>0.24772630610954657</v>
      </c>
      <c r="Q25" s="21">
        <f>Table11[[#This Row],[2020 Margin]]*Table11[[#This Row],[2020E Guidance Revised ]]</f>
        <v>203536750.00000003</v>
      </c>
      <c r="R25" s="9">
        <f>Table11[[#This Row],[2020 Ops CF]]/Table11[[#This Row],[S/O]]</f>
        <v>2.2676916101832623</v>
      </c>
      <c r="S25" s="10">
        <v>5.3760000000000003</v>
      </c>
      <c r="T25" s="1">
        <v>0</v>
      </c>
      <c r="U25" s="1">
        <v>0</v>
      </c>
      <c r="V25" s="27">
        <f>Table11[[#This Row],[2020 Ops CF-Copper]]+Table11[[#This Row],[2020 Ops CF]]</f>
        <v>203536750.00000003</v>
      </c>
      <c r="W25" s="27">
        <f>Table11[[#This Row],[Price]]/Table11[[#This Row],[CFPS]]</f>
        <v>9.4942362988502058</v>
      </c>
      <c r="X25" s="40">
        <v>68.319999999999993</v>
      </c>
      <c r="Y25" s="1">
        <v>0.47</v>
      </c>
      <c r="Z25" s="48">
        <f>Table11[[#This Row],[Price]]/Table11[[#This Row],[2019 EPS]]</f>
        <v>45.808510638297875</v>
      </c>
      <c r="AA25" s="11">
        <f>(606.85-448.77)/448.77</f>
        <v>0.35225171023018481</v>
      </c>
      <c r="AB25" s="11">
        <v>3.5000000000000003E-2</v>
      </c>
      <c r="AC25" s="11">
        <v>5.4399999999999997E-2</v>
      </c>
      <c r="AD25" s="11">
        <v>9.4399999999999998E-2</v>
      </c>
      <c r="AE25" s="9">
        <f>900/234</f>
        <v>3.8461538461538463</v>
      </c>
      <c r="AF25" s="9">
        <f>504/234</f>
        <v>2.1538461538461537</v>
      </c>
      <c r="AG25" s="9">
        <f>616/1134</f>
        <v>0.54320987654320985</v>
      </c>
      <c r="AH25" s="9">
        <f>616/1750</f>
        <v>0.35199999999999998</v>
      </c>
    </row>
    <row r="26" spans="2:34" x14ac:dyDescent="0.25">
      <c r="B26" s="37" t="e" vm="44">
        <v>#VALUE!</v>
      </c>
      <c r="C26" s="3">
        <f t="shared" si="1"/>
        <v>3.55</v>
      </c>
      <c r="D26" s="5" cm="1">
        <f t="array" ref="D26">_FV(B26,"Market cap",TRUE)/1000000</f>
        <v>1179.777</v>
      </c>
      <c r="E26" s="15">
        <f>(Table11[[#This Row],[Market Cap (MM)]]*1000000)/Table11[[#This Row],[Price]]</f>
        <v>332331549.29577464</v>
      </c>
      <c r="F26" s="15">
        <v>244600</v>
      </c>
      <c r="G26" s="15">
        <v>340900</v>
      </c>
      <c r="H26" s="15">
        <f>AVERAGE(315,355)*1000</f>
        <v>335000</v>
      </c>
      <c r="I26" s="15">
        <f>Table11[[#This Row],[2020E Guidance.Avg]]</f>
        <v>335000</v>
      </c>
      <c r="K26" s="21">
        <v>951</v>
      </c>
      <c r="L26" s="21">
        <v>724</v>
      </c>
      <c r="M26" s="24">
        <f>AVERAGE(895,960)</f>
        <v>927.5</v>
      </c>
      <c r="O26" s="4" cm="1">
        <f t="array" ref="O26">(Table1315[Price]*0.9)-Table11[[#This Row],[AISC 2020E Guidance]]</f>
        <v>638.41000000000008</v>
      </c>
      <c r="P26" s="11" cm="1">
        <f t="array" ref="P26">Table11[[#This Row],[2020 Margin]]/Table1315[Price]*0.9</f>
        <v>0.33023104776136564</v>
      </c>
      <c r="Q26" s="21">
        <f>Table11[[#This Row],[2020 Margin]]*Table11[[#This Row],[2020E Guidance Revised ]]</f>
        <v>213867350.00000003</v>
      </c>
      <c r="R26" s="9">
        <f>Table11[[#This Row],[2020 Ops CF]]/Table11[[#This Row],[S/O]]</f>
        <v>0.64353610258548877</v>
      </c>
      <c r="S26" s="10">
        <v>25.341000000000001</v>
      </c>
      <c r="T26" s="1">
        <v>0</v>
      </c>
      <c r="U26" s="1">
        <v>0</v>
      </c>
      <c r="V26" s="27">
        <f>Table11[[#This Row],[2020 Ops CF-Copper]]+Table11[[#This Row],[2020 Ops CF]]</f>
        <v>213867350.00000003</v>
      </c>
      <c r="W26" s="27">
        <f>Table11[[#This Row],[Price]]/Table11[[#This Row],[CFPS]]</f>
        <v>5.5163960277246602</v>
      </c>
      <c r="X26" s="40">
        <v>13.78</v>
      </c>
      <c r="Y26" s="1">
        <v>0.15</v>
      </c>
      <c r="Z26" s="48">
        <f>Table11[[#This Row],[Price]]/Table11[[#This Row],[2019 EPS]]</f>
        <v>23.666666666666668</v>
      </c>
      <c r="AA26" s="11">
        <f>(475.75-258.99)/258.99</f>
        <v>0.83694351133248379</v>
      </c>
      <c r="AB26" s="11">
        <v>4.6800000000000001E-2</v>
      </c>
      <c r="AC26" s="11">
        <v>6.6100000000000006E-2</v>
      </c>
      <c r="AD26" s="11">
        <v>0.1055</v>
      </c>
      <c r="AE26" s="9">
        <f>251/146</f>
        <v>1.7191780821917808</v>
      </c>
      <c r="AF26" s="9">
        <f>98/146</f>
        <v>0.67123287671232879</v>
      </c>
      <c r="AG26" s="9">
        <f>312/798</f>
        <v>0.39097744360902253</v>
      </c>
      <c r="AH26" s="9">
        <f>312/1110</f>
        <v>0.2810810810810811</v>
      </c>
    </row>
    <row r="27" spans="2:34" x14ac:dyDescent="0.25">
      <c r="B27" s="1" t="e" vm="47">
        <v>#VALUE!</v>
      </c>
      <c r="C27" s="3">
        <f t="shared" si="1"/>
        <v>16.11</v>
      </c>
      <c r="D27" s="5" cm="1">
        <f t="array" ref="D27">_FV(B27,"Market cap",TRUE)/1000000</f>
        <v>1291.5509999999999</v>
      </c>
      <c r="E27" s="15">
        <f>(Table11[[#This Row],[Market Cap (MM)]]*1000000)/Table11[[#This Row],[Price]]</f>
        <v>80170763.500931099</v>
      </c>
      <c r="F27" s="15">
        <v>347640</v>
      </c>
      <c r="G27" s="15">
        <v>454811</v>
      </c>
      <c r="H27" s="15">
        <v>450000</v>
      </c>
      <c r="I27" s="15">
        <f>Table11[[#This Row],[2020E Guidance.Avg]]</f>
        <v>450000</v>
      </c>
      <c r="K27" s="21">
        <v>964</v>
      </c>
      <c r="L27" s="21">
        <v>805</v>
      </c>
      <c r="M27" s="21">
        <v>930</v>
      </c>
      <c r="O27" s="4" cm="1">
        <f t="array" ref="O27">(Table1315[Price]*0.9)-Table11[[#This Row],[AISC 2020E Guidance]]</f>
        <v>635.91000000000008</v>
      </c>
      <c r="P27" s="11" cm="1">
        <f t="array" ref="P27">Table11[[#This Row],[2020 Margin]]/Table1315[Price]*0.9</f>
        <v>0.32893786999252833</v>
      </c>
      <c r="Q27" s="21">
        <f>Table11[[#This Row],[2020 Margin]]*Table11[[#This Row],[2020E Guidance Revised ]]</f>
        <v>286159500.00000006</v>
      </c>
      <c r="R27" s="9">
        <f>Table11[[#This Row],[2020 Ops CF]]/Table11[[#This Row],[S/O]]</f>
        <v>3.5693747633659072</v>
      </c>
      <c r="S27" s="10">
        <v>2.2400000000000002</v>
      </c>
      <c r="T27" s="1">
        <v>0</v>
      </c>
      <c r="U27" s="1">
        <v>0</v>
      </c>
      <c r="V27" s="27">
        <f>Table11[[#This Row],[2020 Ops CF-Copper]]+Table11[[#This Row],[2020 Ops CF]]</f>
        <v>286159500.00000006</v>
      </c>
      <c r="W27" s="27">
        <f>Table11[[#This Row],[Price]]/Table11[[#This Row],[CFPS]]</f>
        <v>4.5133955014598488</v>
      </c>
      <c r="X27" s="40">
        <v>36.53</v>
      </c>
      <c r="Y27" s="1">
        <v>0.84</v>
      </c>
      <c r="Z27" s="48">
        <f>Table11[[#This Row],[Price]]/Table11[[#This Row],[2019 EPS]]</f>
        <v>19.178571428571427</v>
      </c>
      <c r="AA27" s="11">
        <f>(640.8-314.9)/314.9</f>
        <v>1.0349317243569387</v>
      </c>
      <c r="AB27" s="11">
        <v>5.6899999999999999E-2</v>
      </c>
      <c r="AC27" s="11">
        <v>8.9300000000000004E-2</v>
      </c>
      <c r="AD27" s="11">
        <v>0.1111</v>
      </c>
      <c r="AE27" s="9">
        <f>339/243</f>
        <v>1.3950617283950617</v>
      </c>
      <c r="AF27" s="9">
        <f>162/243</f>
        <v>0.66666666666666663</v>
      </c>
      <c r="AG27" s="9">
        <f>395/835</f>
        <v>0.47305389221556887</v>
      </c>
      <c r="AH27" s="9">
        <f>395/1230</f>
        <v>0.32113821138211385</v>
      </c>
    </row>
    <row r="28" spans="2:34" x14ac:dyDescent="0.25">
      <c r="B28" s="1" t="s">
        <v>94</v>
      </c>
      <c r="X28" s="40">
        <f>SUBTOTAL(101,Table11[2019 P/E])</f>
        <v>24.128516679399034</v>
      </c>
      <c r="Z28" s="40">
        <f>SUBTOTAL(101,Table11[2020 P/E])</f>
        <v>20.645063344486733</v>
      </c>
      <c r="AA28" s="47">
        <f>SUBTOTAL(101,Table11[REV 3Yr Growth])</f>
        <v>0.39075611631515861</v>
      </c>
      <c r="AB28" s="47">
        <f>SUBTOTAL(101,Table11[ROA% TTM ])</f>
        <v>1.2942857142857145E-2</v>
      </c>
      <c r="AC28" s="47">
        <f>SUBTOTAL(101,Table11[ROE % TTM ])</f>
        <v>1.6185714285714286E-2</v>
      </c>
      <c r="AD28" s="47">
        <f>SUBTOTAL(101,Table11[Net Margin% TTM])</f>
        <v>2.0557142857142861E-2</v>
      </c>
      <c r="AE28" s="9">
        <f>SUBTOTAL(101,Table11[Current Ratio])</f>
        <v>3.4133044132633117</v>
      </c>
      <c r="AF28" s="9">
        <f>SUBTOTAL(101,Table11[Cash Ratio])</f>
        <v>2.0134366655629536</v>
      </c>
      <c r="AG28" s="9">
        <f>SUBTOTAL(101,Table11[Debt-Equity])</f>
        <v>0.63990316969944749</v>
      </c>
      <c r="AH28" s="9">
        <f>SUBTOTAL(109,Table11[Debt-Assest])</f>
        <v>2.3260069303909034</v>
      </c>
    </row>
    <row r="29" spans="2:34" x14ac:dyDescent="0.25">
      <c r="B29" s="18" t="s">
        <v>32</v>
      </c>
    </row>
    <row r="30" spans="2:34" x14ac:dyDescent="0.25">
      <c r="B30" s="8" t="s">
        <v>0</v>
      </c>
      <c r="C30" s="8" t="s">
        <v>10</v>
      </c>
      <c r="D30" s="8" t="s">
        <v>45</v>
      </c>
      <c r="E30" s="8" t="s">
        <v>78</v>
      </c>
      <c r="F30" s="7" t="s">
        <v>11</v>
      </c>
      <c r="G30" s="7" t="s">
        <v>12</v>
      </c>
      <c r="H30" s="7" t="s">
        <v>57</v>
      </c>
      <c r="I30" s="7" t="s">
        <v>60</v>
      </c>
      <c r="J30" s="7" t="s">
        <v>59</v>
      </c>
      <c r="K30" s="7" t="s">
        <v>62</v>
      </c>
      <c r="L30" s="7" t="s">
        <v>61</v>
      </c>
      <c r="M30" s="7" t="s">
        <v>63</v>
      </c>
      <c r="N30" s="7" t="s">
        <v>64</v>
      </c>
      <c r="O30" s="7" t="s">
        <v>68</v>
      </c>
      <c r="P30" s="7" t="s">
        <v>74</v>
      </c>
      <c r="Q30" s="7" t="s">
        <v>70</v>
      </c>
      <c r="R30" s="7" t="s">
        <v>77</v>
      </c>
      <c r="S30" s="7" t="s">
        <v>83</v>
      </c>
      <c r="T30" s="7" t="s">
        <v>72</v>
      </c>
      <c r="U30" s="7" t="s">
        <v>73</v>
      </c>
      <c r="V30" s="7" t="s">
        <v>58</v>
      </c>
      <c r="W30" s="7" t="s">
        <v>79</v>
      </c>
      <c r="X30" s="7" t="s">
        <v>84</v>
      </c>
      <c r="Y30" s="7" t="s">
        <v>90</v>
      </c>
      <c r="Z30" s="7" t="s">
        <v>85</v>
      </c>
      <c r="AA30" s="7" t="s">
        <v>86</v>
      </c>
      <c r="AB30" s="7" t="s">
        <v>87</v>
      </c>
      <c r="AC30" s="7" t="s">
        <v>88</v>
      </c>
      <c r="AD30" s="7" t="s">
        <v>89</v>
      </c>
      <c r="AE30" s="7" t="s">
        <v>14</v>
      </c>
      <c r="AF30" s="7" t="s">
        <v>15</v>
      </c>
      <c r="AG30" s="7" t="s">
        <v>17</v>
      </c>
      <c r="AH30" s="7" t="s">
        <v>18</v>
      </c>
    </row>
    <row r="31" spans="2:34" x14ac:dyDescent="0.25">
      <c r="B31" s="28" t="e" vm="53">
        <v>#VALUE!</v>
      </c>
      <c r="C31" s="3">
        <f t="shared" si="1"/>
        <v>5.99</v>
      </c>
      <c r="D31" s="5" cm="1">
        <f t="array" ref="D31">_FV(B31,"Market cap",TRUE)/1000000</f>
        <v>1104.8869999999999</v>
      </c>
      <c r="E31" s="15">
        <f>(Table12[[#This Row],[Market Cap (MM)]]*1000000)/Table12[[#This Row],[Price]]</f>
        <v>184455258.76460767</v>
      </c>
      <c r="F31" s="15">
        <v>201000</v>
      </c>
      <c r="G31" s="15">
        <v>231000</v>
      </c>
      <c r="H31" s="15">
        <f>AVERAGE(252,296)*1000</f>
        <v>274000</v>
      </c>
      <c r="I31" s="15">
        <f>Table12[[#This Row],[2020E Guidance.Avg]]</f>
        <v>274000</v>
      </c>
      <c r="K31" s="21">
        <v>659</v>
      </c>
      <c r="L31" s="21">
        <v>725</v>
      </c>
      <c r="M31" s="21">
        <f>AVERAGE(680,760)</f>
        <v>720</v>
      </c>
      <c r="O31" s="38" cm="1">
        <f t="array" ref="O31">(Table1315[Price]*0.9)-Table12[[#This Row],[AISC 2020E Guidance]]</f>
        <v>845.91000000000008</v>
      </c>
      <c r="P31" s="11" cm="1">
        <f t="array" ref="P31">Table12[[#This Row],[2020 Margin]]/(Table1315[Price]*0.9)</f>
        <v>0.5402034599689638</v>
      </c>
      <c r="Q31" s="22">
        <f>Table12[[#This Row],[2020 Margin]]*Table12[[#This Row],[2020E Guidance Revised ]]</f>
        <v>231779340.00000003</v>
      </c>
      <c r="R31" s="20">
        <f>Table12[[#This Row],[2020 Ops CF]]/Table12[[#This Row],[S/O]]</f>
        <v>1.2565613013819514</v>
      </c>
      <c r="S31" s="10">
        <v>2.5819999999999999</v>
      </c>
      <c r="T31" s="1">
        <v>0</v>
      </c>
      <c r="U31" s="1">
        <v>0</v>
      </c>
      <c r="V31" s="27">
        <f>Table12[[#This Row],[2020 Ops CF-Copper]]+Table12[[#This Row],[2020 Ops CF]]</f>
        <v>231779340.00000003</v>
      </c>
      <c r="W31" s="9">
        <f>Table12[[#This Row],[Price]]/Table12[[#This Row],[CFPS]]</f>
        <v>4.7669779368601182</v>
      </c>
      <c r="X31" s="40">
        <v>38.83</v>
      </c>
      <c r="Y31" s="9">
        <v>0.21</v>
      </c>
      <c r="Z31" s="40">
        <f>Table12[[#This Row],[Price]]/Table12[[#This Row],[2019 EPS]]</f>
        <v>28.523809523809526</v>
      </c>
      <c r="AA31" s="11">
        <f>(377.11-279.49)/279.49</f>
        <v>0.34927904397295073</v>
      </c>
      <c r="AB31" s="11">
        <v>2.29E-2</v>
      </c>
      <c r="AC31" s="11">
        <v>3.1199999999999999E-2</v>
      </c>
      <c r="AD31" s="11">
        <v>5.6000000000000001E-2</v>
      </c>
      <c r="AE31" s="9">
        <f>84/93</f>
        <v>0.90322580645161288</v>
      </c>
      <c r="AF31" s="9">
        <f>17/93</f>
        <v>0.18279569892473119</v>
      </c>
      <c r="AG31" s="9">
        <f>228/632</f>
        <v>0.36075949367088606</v>
      </c>
      <c r="AH31" s="9">
        <f>228/860</f>
        <v>0.26511627906976742</v>
      </c>
    </row>
    <row r="32" spans="2:34" x14ac:dyDescent="0.25">
      <c r="B32" s="1" t="e" vm="51">
        <v>#VALUE!</v>
      </c>
      <c r="C32" s="3">
        <f t="shared" si="1"/>
        <v>10.55</v>
      </c>
      <c r="D32" s="5" cm="1">
        <f t="array" ref="D32">_FV(B32,"Market cap",TRUE)/1000000</f>
        <v>2256.4760000000001</v>
      </c>
      <c r="E32" s="15">
        <f>(Table12[[#This Row],[Market Cap (MM)]]*1000000)/Table12[[#This Row],[Price]]</f>
        <v>213883981.04265401</v>
      </c>
      <c r="F32" s="15">
        <v>25601</v>
      </c>
      <c r="G32" s="15">
        <v>194941</v>
      </c>
      <c r="H32" s="15">
        <v>700000</v>
      </c>
      <c r="I32" s="15">
        <f>Table12[[#This Row],[2020E Guidance.Avg]]</f>
        <v>700000</v>
      </c>
      <c r="K32" s="21">
        <v>886</v>
      </c>
      <c r="L32" s="21">
        <v>931</v>
      </c>
      <c r="M32" s="21">
        <v>1000</v>
      </c>
      <c r="O32" s="38" cm="1">
        <f t="array" ref="O32">(Table1315[Price]*0.9)-Table12[[#This Row],[AISC 2020E Guidance]]</f>
        <v>565.91000000000008</v>
      </c>
      <c r="P32" s="11" cm="1">
        <f t="array" ref="P32">Table12[[#This Row],[2020 Margin]]/(Table1315[Price]*0.9)</f>
        <v>0.36139369440133856</v>
      </c>
      <c r="Q32" s="21">
        <f>Table12[[#This Row],[2020 Margin]]*Table12[[#This Row],[2020E Guidance Revised ]]</f>
        <v>396137000.00000006</v>
      </c>
      <c r="R32" s="20">
        <f>Table12[[#This Row],[2020 Ops CF]]/Table12[[#This Row],[S/O]]</f>
        <v>1.852111589044156</v>
      </c>
      <c r="S32" s="10">
        <v>12.7</v>
      </c>
      <c r="T32" s="1">
        <v>0</v>
      </c>
      <c r="U32" s="1">
        <v>0</v>
      </c>
      <c r="V32" s="27">
        <f>Table12[[#This Row],[2020 Ops CF-Copper]]+Table12[[#This Row],[2020 Ops CF]]</f>
        <v>396137000.00000006</v>
      </c>
      <c r="W32" s="9">
        <f>Table12[[#This Row],[Price]]/Table12[[#This Row],[CFPS]]</f>
        <v>5.6962010617538876</v>
      </c>
      <c r="X32" s="40">
        <f>9.99/Table12[[#This Row],[2019 EPS]]</f>
        <v>-18.163636363636364</v>
      </c>
      <c r="Y32" s="9">
        <v>-0.55000000000000004</v>
      </c>
      <c r="Z32" s="40">
        <f>Table12[[#This Row],[Price]]/Table12[[#This Row],[2019 EPS]]</f>
        <v>-19.18181818181818</v>
      </c>
      <c r="AA32" s="11">
        <f>(281.697-15)/15</f>
        <v>17.779800000000002</v>
      </c>
      <c r="AB32" s="11">
        <v>-3.0800000000000001E-2</v>
      </c>
      <c r="AC32" s="11">
        <v>-5.2200000000000003E-2</v>
      </c>
      <c r="AD32" s="11">
        <v>-0.10199999999999999</v>
      </c>
      <c r="AE32" s="9">
        <f>148656/131923</f>
        <v>1.1268391410140763</v>
      </c>
      <c r="AF32" s="9">
        <f>67716/131923</f>
        <v>0.5132994246643876</v>
      </c>
      <c r="AG32" s="9">
        <f>436291/403059</f>
        <v>1.0824494676957963</v>
      </c>
      <c r="AH32" s="9">
        <f>436291/839350</f>
        <v>0.51979627092392922</v>
      </c>
    </row>
    <row r="33" spans="2:34" x14ac:dyDescent="0.25">
      <c r="B33" s="1" t="e" vm="56">
        <v>#VALUE!</v>
      </c>
      <c r="C33" s="3">
        <f t="shared" si="1"/>
        <v>0.115</v>
      </c>
      <c r="D33" s="5" cm="1">
        <f t="array" ref="D33">_FV(B33,"Market cap",TRUE)/1000000</f>
        <v>97.313829999999996</v>
      </c>
      <c r="E33" s="15">
        <f>(Table12[[#This Row],[Market Cap (MM)]]*1000000)/Table12[[#This Row],[Price]]</f>
        <v>846207217.39130425</v>
      </c>
      <c r="F33" s="15">
        <v>0</v>
      </c>
      <c r="G33" s="15">
        <v>27316</v>
      </c>
      <c r="H33" s="15">
        <f>AVERAGE(42,48)*1000</f>
        <v>45000</v>
      </c>
      <c r="I33" s="15">
        <f>Table12[[#This Row],[2020E Guidance.Avg]]</f>
        <v>45000</v>
      </c>
      <c r="K33" s="21">
        <v>0</v>
      </c>
      <c r="L33" s="21">
        <f>AVERAGE(2200,2400)</f>
        <v>2300</v>
      </c>
      <c r="M33" s="21">
        <f>AVERAGE(1475,1650)</f>
        <v>1562.5</v>
      </c>
      <c r="O33" s="38" cm="1">
        <f t="array" ref="O33">(Table1315[Price]*0.9)-Table12[[#This Row],[AISC 2020E Guidance]]</f>
        <v>3.4100000000000819</v>
      </c>
      <c r="P33" s="11" cm="1">
        <f t="array" ref="P33">Table12[[#This Row],[2020 Margin]]/(Table1315[Price]*0.9)</f>
        <v>2.1776475020914877E-3</v>
      </c>
      <c r="Q33" s="21">
        <f>Table12[[#This Row],[2020 Margin]]*Table12[[#This Row],[2020E Guidance Revised ]]</f>
        <v>153450.0000000037</v>
      </c>
      <c r="R33" s="20">
        <f>Table12[[#This Row],[2020 Ops CF]]/Table12[[#This Row],[S/O]]</f>
        <v>1.813385620522841E-4</v>
      </c>
      <c r="S33" s="10">
        <v>0.89</v>
      </c>
      <c r="T33" s="1">
        <v>0</v>
      </c>
      <c r="U33" s="1">
        <v>0</v>
      </c>
      <c r="V33" s="27">
        <f>Table12[[#This Row],[2020 Ops CF-Copper]]+Table12[[#This Row],[2020 Ops CF]]</f>
        <v>153450.0000000037</v>
      </c>
      <c r="W33" s="9">
        <f>Table12[[#This Row],[Price]]/Table12[[#This Row],[CFPS]]</f>
        <v>634.17289019222972</v>
      </c>
      <c r="X33" s="40">
        <f>0.15/Table12[[#This Row],[2019 EPS]]</f>
        <v>-1.4999999999999998</v>
      </c>
      <c r="Y33" s="9">
        <v>-0.1</v>
      </c>
      <c r="Z33" s="40">
        <f>Table12[[#This Row],[Price]]/Table12[[#This Row],[2019 EPS]]</f>
        <v>-1.1499999999999999</v>
      </c>
      <c r="AA33" s="11">
        <v>0</v>
      </c>
      <c r="AB33" s="11">
        <v>-0.49459999999999998</v>
      </c>
      <c r="AC33" s="11">
        <v>-88.6327</v>
      </c>
      <c r="AD33" s="11">
        <v>-1.2377</v>
      </c>
      <c r="AE33" s="9">
        <f>10/39</f>
        <v>0.25641025641025639</v>
      </c>
      <c r="AF33" s="9">
        <f>2/39</f>
        <v>5.128205128205128E-2</v>
      </c>
      <c r="AG33" s="9" t="s">
        <v>303</v>
      </c>
      <c r="AH33" s="9">
        <f>141/123</f>
        <v>1.1463414634146341</v>
      </c>
    </row>
    <row r="34" spans="2:34" x14ac:dyDescent="0.25">
      <c r="B34" s="1" t="e" vm="45">
        <v>#VALUE!</v>
      </c>
      <c r="C34" s="3">
        <f t="shared" si="1"/>
        <v>3.85</v>
      </c>
      <c r="D34" s="5" cm="1">
        <f t="array" ref="D34">_FV(B34,"Market cap",TRUE)/1000000</f>
        <v>857.61599999999999</v>
      </c>
      <c r="E34" s="15">
        <f>(Table12[[#This Row],[Market Cap (MM)]]*1000000)/Table12[[#This Row],[Price]]</f>
        <v>222757402.5974026</v>
      </c>
      <c r="F34" s="15">
        <v>47237</v>
      </c>
      <c r="G34" s="15">
        <v>82256</v>
      </c>
      <c r="H34" s="15">
        <v>115000</v>
      </c>
      <c r="I34" s="15">
        <f>Table12[[#This Row],[2020E Guidance.Avg]]</f>
        <v>115000</v>
      </c>
      <c r="K34" s="21">
        <v>809</v>
      </c>
      <c r="L34" s="21">
        <v>680</v>
      </c>
      <c r="M34" s="21">
        <v>750</v>
      </c>
      <c r="O34" s="38" cm="1">
        <f t="array" ref="O34">(Table1315[Price]*0.9)-Table12[[#This Row],[AISC 2020E Guidance]]</f>
        <v>815.91000000000008</v>
      </c>
      <c r="P34" s="11" cm="1">
        <f t="array" ref="P34">Table12[[#This Row],[2020 Margin]]/(Table1315[Price]*0.9)</f>
        <v>0.52104527080100393</v>
      </c>
      <c r="Q34" s="21">
        <f>Table12[[#This Row],[2020 Margin]]*Table12[[#This Row],[2020E Guidance Revised ]]</f>
        <v>93829650.000000015</v>
      </c>
      <c r="R34" s="20">
        <f>Table12[[#This Row],[2020 Ops CF]]/Table12[[#This Row],[S/O]]</f>
        <v>0.42121899836290372</v>
      </c>
      <c r="S34" s="10">
        <v>2.4</v>
      </c>
      <c r="T34" s="1">
        <v>0</v>
      </c>
      <c r="U34" s="1">
        <v>0</v>
      </c>
      <c r="V34" s="27">
        <f>Table12[[#This Row],[2020 Ops CF-Copper]]+Table12[[#This Row],[2020 Ops CF]]</f>
        <v>93829650.000000015</v>
      </c>
      <c r="W34" s="9">
        <f>Table12[[#This Row],[Price]]/Table12[[#This Row],[CFPS]]</f>
        <v>9.1401385382978617</v>
      </c>
      <c r="X34" s="40">
        <v>9.19</v>
      </c>
      <c r="Y34" s="9">
        <v>0.16</v>
      </c>
      <c r="Z34" s="40">
        <f>Table12[[#This Row],[Price]]/Table12[[#This Row],[2019 EPS]]</f>
        <v>24.0625</v>
      </c>
      <c r="AA34" s="11">
        <f>(102-53)/53</f>
        <v>0.92452830188679247</v>
      </c>
      <c r="AB34" s="11">
        <v>0.2681</v>
      </c>
      <c r="AC34" s="11">
        <v>0.33639999999999998</v>
      </c>
      <c r="AD34" s="11">
        <v>0.32</v>
      </c>
      <c r="AE34" s="9">
        <f>47/30</f>
        <v>1.5666666666666667</v>
      </c>
      <c r="AF34" s="9">
        <f>22/22</f>
        <v>1</v>
      </c>
      <c r="AG34" s="9">
        <f>30/125</f>
        <v>0.24</v>
      </c>
      <c r="AH34" s="9">
        <f>30/155</f>
        <v>0.19354838709677419</v>
      </c>
    </row>
    <row r="35" spans="2:34" x14ac:dyDescent="0.25">
      <c r="B35" s="1" t="e" vm="43">
        <v>#VALUE!</v>
      </c>
      <c r="C35" s="3">
        <f t="shared" si="1"/>
        <v>1.42</v>
      </c>
      <c r="D35" s="5" cm="1">
        <f t="array" ref="D35">_FV(B35,"Market cap",TRUE)/1000000</f>
        <v>378.41660000000002</v>
      </c>
      <c r="E35" s="15">
        <f>(Table12[[#This Row],[Market Cap (MM)]]*1000000)/Table12[[#This Row],[Price]]</f>
        <v>266490563.38028172</v>
      </c>
      <c r="F35" s="15">
        <v>175640</v>
      </c>
      <c r="G35" s="15">
        <v>174420</v>
      </c>
      <c r="H35" s="15">
        <f>AVERAGE(169000,176000)</f>
        <v>172500</v>
      </c>
      <c r="I35" s="15">
        <f>Table12[[#This Row],[2020E Guidance.Avg]]</f>
        <v>172500</v>
      </c>
      <c r="K35" s="21">
        <v>1061</v>
      </c>
      <c r="L35" s="21">
        <v>1083</v>
      </c>
      <c r="M35" s="21">
        <v>1100</v>
      </c>
      <c r="O35" s="38" cm="1">
        <f t="array" ref="O35">(Table1315[Price]*0.9)-Table12[[#This Row],[AISC 2020E Guidance]]</f>
        <v>465.91000000000008</v>
      </c>
      <c r="P35" s="11" cm="1">
        <f t="array" ref="P35">Table12[[#This Row],[2020 Margin]]/(Table1315[Price]*0.9)</f>
        <v>0.29753306384147243</v>
      </c>
      <c r="Q35" s="21">
        <f>Table12[[#This Row],[2020 Margin]]*Table12[[#This Row],[2020E Guidance Revised ]]</f>
        <v>80369475.000000015</v>
      </c>
      <c r="R35" s="20">
        <f>Table12[[#This Row],[2020 Ops CF]]/Table12[[#This Row],[S/O]]</f>
        <v>0.30158469395898596</v>
      </c>
      <c r="S35" s="10">
        <v>0.74</v>
      </c>
      <c r="T35" s="1">
        <v>0</v>
      </c>
      <c r="U35" s="1">
        <v>0</v>
      </c>
      <c r="V35" s="27">
        <f>Table12[[#This Row],[2020 Ops CF-Copper]]+Table12[[#This Row],[2020 Ops CF]]</f>
        <v>80369475.000000015</v>
      </c>
      <c r="W35" s="9">
        <f>Table12[[#This Row],[Price]]/Table12[[#This Row],[CFPS]]</f>
        <v>4.7084617636235642</v>
      </c>
      <c r="X35" s="40">
        <f>1.66/Table12[[#This Row],[2019 EPS]]</f>
        <v>-9.7647058823529402</v>
      </c>
      <c r="Y35" s="9">
        <v>-0.17</v>
      </c>
      <c r="Z35" s="40">
        <f>Table12[[#This Row],[Price]]/Table12[[#This Row],[2019 EPS]]</f>
        <v>-8.352941176470587</v>
      </c>
      <c r="AA35" s="11">
        <f>(117.02-67.47)/67.47</f>
        <v>0.73440047428486732</v>
      </c>
      <c r="AB35" s="11">
        <v>-9.5699999999999993E-2</v>
      </c>
      <c r="AC35" s="11">
        <v>-0.12130000000000001</v>
      </c>
      <c r="AD35" s="11">
        <v>-0.51060000000000005</v>
      </c>
      <c r="AE35" s="9">
        <f>92/49</f>
        <v>1.8775510204081634</v>
      </c>
      <c r="AF35" s="9">
        <f>46/49</f>
        <v>0.93877551020408168</v>
      </c>
      <c r="AG35" s="9">
        <f>132/499</f>
        <v>0.26452905811623245</v>
      </c>
      <c r="AH35" s="9">
        <f>132/631</f>
        <v>0.2091917591125198</v>
      </c>
    </row>
    <row r="36" spans="2:34" x14ac:dyDescent="0.25">
      <c r="B36" s="1" t="e" vm="49">
        <v>#VALUE!</v>
      </c>
      <c r="C36" s="3">
        <f t="shared" si="1"/>
        <v>1.06</v>
      </c>
      <c r="D36" s="5" cm="1">
        <f t="array" ref="D36">_FV(B36,"Market cap",TRUE)/1000000</f>
        <v>673.53470000000004</v>
      </c>
      <c r="E36" s="15">
        <f>(Table12[[#This Row],[Market Cap (MM)]]*1000000)/Table12[[#This Row],[Price]]</f>
        <v>635410094.33962262</v>
      </c>
      <c r="F36" s="15">
        <v>522603</v>
      </c>
      <c r="G36" s="15">
        <v>486141</v>
      </c>
      <c r="H36" s="15">
        <f>AVERAGE(310,343)*1000</f>
        <v>326500</v>
      </c>
      <c r="I36" s="15">
        <f>Table12[[#This Row],[2020E Guidance.Avg]]</f>
        <v>326500</v>
      </c>
      <c r="K36" s="21">
        <v>1099</v>
      </c>
      <c r="L36" s="21">
        <v>1310</v>
      </c>
      <c r="M36" s="21">
        <f>AVERAGE(1260,1340)</f>
        <v>1300</v>
      </c>
      <c r="O36" s="38" cm="1">
        <f t="array" ref="O36">(Table1315[Price]*0.9)-Table12[[#This Row],[AISC 2020E Guidance]]</f>
        <v>265.91000000000008</v>
      </c>
      <c r="P36" s="11" cm="1">
        <f t="array" ref="P36">Table12[[#This Row],[2020 Margin]]/(Table1315[Price]*0.9)</f>
        <v>0.16981180272174012</v>
      </c>
      <c r="Q36" s="21">
        <f>Table12[[#This Row],[2020 Margin]]*Table12[[#This Row],[2020E Guidance Revised ]]</f>
        <v>86819615.00000003</v>
      </c>
      <c r="R36" s="20">
        <f>Table12[[#This Row],[2020 Ops CF]]/Table12[[#This Row],[S/O]]</f>
        <v>0.13663556146401964</v>
      </c>
      <c r="S36" s="10">
        <v>11.811</v>
      </c>
      <c r="T36" s="1">
        <v>0</v>
      </c>
      <c r="U36" s="1">
        <v>0</v>
      </c>
      <c r="V36" s="27">
        <f>Table12[[#This Row],[2020 Ops CF-Copper]]+Table12[[#This Row],[2020 Ops CF]]</f>
        <v>86819615.00000003</v>
      </c>
      <c r="W36" s="9">
        <f>Table12[[#This Row],[Price]]/Table12[[#This Row],[CFPS]]</f>
        <v>7.7578632432313803</v>
      </c>
      <c r="X36" s="40">
        <f>1.15/Table12[[#This Row],[2019 EPS]]</f>
        <v>-9.5833333333333321</v>
      </c>
      <c r="Y36" s="43">
        <v>-0.12</v>
      </c>
      <c r="Z36" s="40">
        <f>Table12[[#This Row],[Price]]/Table12[[#This Row],[2019 EPS]]</f>
        <v>-8.8333333333333339</v>
      </c>
      <c r="AA36" s="11">
        <f>(630.6-388.7)/388.7</f>
        <v>0.62233084641111402</v>
      </c>
      <c r="AB36" s="11">
        <v>-3.4000000000000002E-2</v>
      </c>
      <c r="AC36" s="11">
        <v>-7.6499999999999999E-2</v>
      </c>
      <c r="AD36" s="11">
        <v>-0.1166</v>
      </c>
      <c r="AE36" s="9">
        <f>229/172</f>
        <v>1.3313953488372092</v>
      </c>
      <c r="AF36" s="9">
        <f>83/172</f>
        <v>0.48255813953488375</v>
      </c>
      <c r="AG36" s="9">
        <f>1197/961</f>
        <v>1.2455775234131112</v>
      </c>
      <c r="AH36" s="9">
        <f>1197/2159</f>
        <v>0.55442334414080596</v>
      </c>
    </row>
    <row r="37" spans="2:34" x14ac:dyDescent="0.25">
      <c r="B37" s="1" t="e" vm="54">
        <v>#VALUE!</v>
      </c>
      <c r="C37" s="3">
        <f t="shared" si="1"/>
        <v>9.65</v>
      </c>
      <c r="D37" s="5" cm="1">
        <f t="array" ref="D37">_FV(B37,"Market cap",TRUE)/1000000</f>
        <v>1587.5340000000001</v>
      </c>
      <c r="E37" s="15">
        <f>(Table12[[#This Row],[Market Cap (MM)]]*1000000)/Table12[[#This Row],[Price]]</f>
        <v>164511295.33678755</v>
      </c>
      <c r="F37" s="15">
        <v>245230</v>
      </c>
      <c r="G37" s="15">
        <v>288768</v>
      </c>
      <c r="H37" s="15">
        <f>AVERAGE(345,355)*1000</f>
        <v>350000</v>
      </c>
      <c r="I37" s="15">
        <f>Table12[[#This Row],[2020E Guidance.Avg]]</f>
        <v>350000</v>
      </c>
      <c r="K37" s="21">
        <v>887</v>
      </c>
      <c r="L37" s="21">
        <v>963</v>
      </c>
      <c r="M37" s="21">
        <f>AVERAGE(975,1100)</f>
        <v>1037.5</v>
      </c>
      <c r="O37" s="38" cm="1">
        <f t="array" ref="O37">(Table1315[Price]*0.9)-Table12[[#This Row],[AISC 2020E Guidance]]</f>
        <v>528.41000000000008</v>
      </c>
      <c r="P37" s="11" cm="1">
        <f t="array" ref="P37">Table12[[#This Row],[2020 Margin]]/(Table1315[Price]*0.9)</f>
        <v>0.33744595794138876</v>
      </c>
      <c r="Q37" s="21">
        <f>Table12[[#This Row],[2020 Margin]]*Table12[[#This Row],[2020E Guidance Revised ]]</f>
        <v>184943500.00000003</v>
      </c>
      <c r="R37" s="20">
        <f>Table12[[#This Row],[2020 Ops CF]]/Table12[[#This Row],[S/O]]</f>
        <v>1.1241994029734168</v>
      </c>
      <c r="S37" s="10">
        <v>2.19</v>
      </c>
      <c r="T37" s="1">
        <v>0</v>
      </c>
      <c r="U37" s="1">
        <v>0</v>
      </c>
      <c r="V37" s="27">
        <f>Table12[[#This Row],[2020 Ops CF-Copper]]+Table12[[#This Row],[2020 Ops CF]]</f>
        <v>184943500.00000003</v>
      </c>
      <c r="W37" s="9">
        <f>Table12[[#This Row],[Price]]/Table12[[#This Row],[CFPS]]</f>
        <v>8.5838864301800264</v>
      </c>
      <c r="X37" s="40">
        <f>7.02/Table12[[#This Row],[2019 EPS]]</f>
        <v>-22.64516129032258</v>
      </c>
      <c r="Y37" s="43">
        <v>-0.31</v>
      </c>
      <c r="Z37" s="40">
        <f>Table12[[#This Row],[Price]]/Table12[[#This Row],[2019 EPS]]</f>
        <v>-31.129032258064516</v>
      </c>
      <c r="AA37" s="11">
        <f>(353.49-291.68)/291.68</f>
        <v>0.21191031267142074</v>
      </c>
      <c r="AB37" s="11">
        <v>-3.1600000000000003E-2</v>
      </c>
      <c r="AC37" s="11">
        <v>-5.91E-2</v>
      </c>
      <c r="AD37" s="11">
        <v>-9.4500000000000001E-2</v>
      </c>
      <c r="AE37" s="9">
        <f>237/304</f>
        <v>0.77960526315789469</v>
      </c>
      <c r="AF37" s="9">
        <f>30/304</f>
        <v>9.8684210526315791E-2</v>
      </c>
      <c r="AG37" s="9">
        <f>627/549</f>
        <v>1.1420765027322404</v>
      </c>
      <c r="AH37" s="9">
        <f>624/1176</f>
        <v>0.53061224489795922</v>
      </c>
    </row>
    <row r="38" spans="2:34" x14ac:dyDescent="0.25">
      <c r="B38" s="1" t="e" vm="58">
        <v>#VALUE!</v>
      </c>
      <c r="C38" s="3">
        <f t="shared" si="1"/>
        <v>1.29</v>
      </c>
      <c r="D38" s="5" cm="1">
        <f t="array" ref="D38">_FV(B38,"Market cap",TRUE)/1000000</f>
        <v>126.8386</v>
      </c>
      <c r="E38" s="15">
        <f>(Table12[[#This Row],[Market Cap (MM)]]*1000000)/Table12[[#This Row],[Price]]</f>
        <v>98324496.124031007</v>
      </c>
      <c r="F38" s="15">
        <v>110970</v>
      </c>
      <c r="G38" s="15">
        <v>139510</v>
      </c>
      <c r="H38" s="15">
        <f>18950*6</f>
        <v>113700</v>
      </c>
      <c r="I38" s="15">
        <f>Table12[[#This Row],[2020E Guidance.Avg]]</f>
        <v>113700</v>
      </c>
      <c r="K38" s="21">
        <v>1291</v>
      </c>
      <c r="L38" s="21">
        <v>1075</v>
      </c>
      <c r="M38" s="21">
        <v>1100</v>
      </c>
      <c r="O38" s="38" cm="1">
        <f t="array" ref="O38">(Table1315[Price]*0.9)-Table12[[#This Row],[AISC 2020E Guidance]]</f>
        <v>465.91000000000008</v>
      </c>
      <c r="P38" s="11" cm="1">
        <f t="array" ref="P38">Table12[[#This Row],[2020 Margin]]/(Table1315[Price]*0.9)</f>
        <v>0.29753306384147243</v>
      </c>
      <c r="Q38" s="21">
        <f>Table12[[#This Row],[2020 Margin]]*Table12[[#This Row],[2020E Guidance Revised ]]</f>
        <v>52973967.000000007</v>
      </c>
      <c r="R38" s="20">
        <f>Table12[[#This Row],[2020 Ops CF]]/Table12[[#This Row],[S/O]]</f>
        <v>0.53876672740001863</v>
      </c>
      <c r="S38" s="10">
        <v>5.2</v>
      </c>
      <c r="T38" s="1">
        <v>0</v>
      </c>
      <c r="U38" s="1">
        <v>0</v>
      </c>
      <c r="V38" s="27">
        <f>Table12[[#This Row],[2020 Ops CF-Copper]]+Table12[[#This Row],[2020 Ops CF]]</f>
        <v>52973967.000000007</v>
      </c>
      <c r="W38" s="9">
        <f>Table12[[#This Row],[Price]]/Table12[[#This Row],[CFPS]]</f>
        <v>2.3943572132326807</v>
      </c>
      <c r="X38" s="40">
        <v>0</v>
      </c>
      <c r="Y38" s="40">
        <v>0</v>
      </c>
      <c r="Z38" s="40">
        <v>0</v>
      </c>
      <c r="AA38" s="40">
        <v>0</v>
      </c>
      <c r="AB38" s="40">
        <v>0</v>
      </c>
      <c r="AC38" s="40">
        <v>0</v>
      </c>
      <c r="AD38" s="40">
        <v>0</v>
      </c>
      <c r="AE38" s="9">
        <v>0</v>
      </c>
      <c r="AF38" s="9">
        <v>0</v>
      </c>
      <c r="AG38" s="9">
        <v>0</v>
      </c>
      <c r="AH38" s="9">
        <v>0</v>
      </c>
    </row>
    <row r="39" spans="2:34" x14ac:dyDescent="0.25">
      <c r="B39" s="1" t="e" vm="57">
        <v>#VALUE!</v>
      </c>
      <c r="C39" s="3">
        <f t="shared" si="1"/>
        <v>7.97</v>
      </c>
      <c r="D39" s="5" cm="1">
        <f t="array" ref="D39">_FV(B39,"Market cap",TRUE)/1000000</f>
        <v>469.94389999999999</v>
      </c>
      <c r="E39" s="15">
        <f>(Table12[[#This Row],[Market Cap (MM)]]*1000000)/Table12[[#This Row],[Price]]</f>
        <v>58964102.885821834</v>
      </c>
      <c r="F39" s="15">
        <v>0</v>
      </c>
      <c r="G39" s="15">
        <v>0</v>
      </c>
      <c r="H39" s="15">
        <v>210000</v>
      </c>
      <c r="I39" s="15">
        <f>Table12[[#This Row],[2020E Guidance.Avg]]</f>
        <v>210000</v>
      </c>
      <c r="K39" s="21">
        <v>0</v>
      </c>
      <c r="L39" s="21">
        <v>0</v>
      </c>
      <c r="M39" s="21">
        <v>800</v>
      </c>
      <c r="O39" s="38" cm="1">
        <f t="array" ref="O39">(Table1315[Price]*0.9)-Table12[[#This Row],[AISC 2020E Guidance]]</f>
        <v>765.91000000000008</v>
      </c>
      <c r="P39" s="11" cm="1">
        <f t="array" ref="P39">Table12[[#This Row],[2020 Margin]]/(Table1315[Price]*0.9)</f>
        <v>0.48911495552107082</v>
      </c>
      <c r="Q39" s="21">
        <f>Table12[[#This Row],[2020 Margin]]*Table12[[#This Row],[2020E Guidance Revised ]]</f>
        <v>160841100.00000003</v>
      </c>
      <c r="R39" s="20">
        <f>Table12[[#This Row],[2020 Ops CF]]/Table12[[#This Row],[S/O]]</f>
        <v>2.7277799903350171</v>
      </c>
      <c r="S39" s="42">
        <v>4.4000000000000004</v>
      </c>
      <c r="T39" s="1">
        <v>0</v>
      </c>
      <c r="U39" s="1">
        <v>0</v>
      </c>
      <c r="V39" s="27">
        <f>Table12[[#This Row],[2020 Ops CF-Copper]]+Table12[[#This Row],[2020 Ops CF]]</f>
        <v>160841100.00000003</v>
      </c>
      <c r="W39" s="9">
        <f>Table12[[#This Row],[Price]]/Table12[[#This Row],[CFPS]]</f>
        <v>2.9217898907679687</v>
      </c>
      <c r="X39" s="40">
        <v>0</v>
      </c>
      <c r="Y39" s="40">
        <v>0</v>
      </c>
      <c r="Z39" s="40">
        <v>0</v>
      </c>
      <c r="AA39" s="40">
        <v>0</v>
      </c>
      <c r="AB39" s="40">
        <v>0</v>
      </c>
      <c r="AC39" s="40">
        <v>0</v>
      </c>
      <c r="AD39" s="40">
        <v>0</v>
      </c>
      <c r="AE39" s="9">
        <f>18/88</f>
        <v>0.20454545454545456</v>
      </c>
      <c r="AF39" s="9">
        <f>12/88</f>
        <v>0.13636363636363635</v>
      </c>
      <c r="AG39" s="9">
        <f>303/896</f>
        <v>0.33816964285714285</v>
      </c>
      <c r="AH39" s="9">
        <f>303/1199</f>
        <v>0.25271059216013342</v>
      </c>
    </row>
    <row r="40" spans="2:34" x14ac:dyDescent="0.25">
      <c r="B40" s="1" t="e" vm="40">
        <v>#VALUE!</v>
      </c>
      <c r="C40" s="3">
        <f t="shared" si="1"/>
        <v>9.51</v>
      </c>
      <c r="D40" s="5" cm="1">
        <f t="array" ref="D40">_FV(B40,"Market cap",TRUE)/1000000</f>
        <v>1348.1859999999999</v>
      </c>
      <c r="E40" s="15">
        <f>(Table12[[#This Row],[Market Cap (MM)]]*1000000)/Table12[[#This Row],[Price]]</f>
        <v>141765089.37960044</v>
      </c>
      <c r="F40" s="15">
        <v>71625</v>
      </c>
      <c r="G40" s="15">
        <v>91688</v>
      </c>
      <c r="H40" s="15">
        <v>95000</v>
      </c>
      <c r="I40" s="15">
        <f>Table12[[#This Row],[2020E Guidance.Avg]]</f>
        <v>95000</v>
      </c>
      <c r="K40" s="21">
        <v>1276</v>
      </c>
      <c r="L40" s="21">
        <v>1293</v>
      </c>
      <c r="M40" s="21">
        <f>AVERAGE(1280,1350)</f>
        <v>1315</v>
      </c>
      <c r="O40" s="38" cm="1">
        <f t="array" ref="O40">(Table1315[Price]*0.9)-Table12[[#This Row],[AISC 2020E Guidance]]</f>
        <v>250.91000000000008</v>
      </c>
      <c r="P40" s="11" cm="1">
        <f t="array" ref="P40">Table12[[#This Row],[2020 Margin]]/(Table1315[Price]*0.9)</f>
        <v>0.16023270813776019</v>
      </c>
      <c r="Q40" s="21">
        <f>Table12[[#This Row],[2020 Margin]]*Table12[[#This Row],[2020E Guidance Revised ]]</f>
        <v>23836450.000000007</v>
      </c>
      <c r="R40" s="20">
        <f>Table12[[#This Row],[2020 Ops CF]]/Table12[[#This Row],[S/O]]</f>
        <v>0.16814047876183261</v>
      </c>
      <c r="S40" s="10">
        <f>(10500+550000)/1000000</f>
        <v>0.5605</v>
      </c>
      <c r="T40" s="1">
        <v>0</v>
      </c>
      <c r="U40" s="1">
        <v>0</v>
      </c>
      <c r="V40" s="27">
        <f>Table12[[#This Row],[2020 Ops CF-Copper]]+Table12[[#This Row],[2020 Ops CF]]</f>
        <v>23836450.000000007</v>
      </c>
      <c r="W40" s="9">
        <f>Table12[[#This Row],[Price]]/Table12[[#This Row],[CFPS]]</f>
        <v>56.559848467368241</v>
      </c>
      <c r="X40" s="40">
        <v>44.22</v>
      </c>
      <c r="Y40" s="43">
        <v>0.3</v>
      </c>
      <c r="Z40" s="40">
        <f>Table12[[#This Row],[Price]]/Table12[[#This Row],[2019 EPS]]</f>
        <v>31.7</v>
      </c>
      <c r="AA40" s="11">
        <f>(163.97-96.06)/96.06</f>
        <v>0.70695398709140111</v>
      </c>
      <c r="AB40" s="11">
        <v>0.1653</v>
      </c>
      <c r="AC40" s="11">
        <v>0.22520000000000001</v>
      </c>
      <c r="AD40" s="11">
        <v>0.24970000000000001</v>
      </c>
      <c r="AE40" s="9">
        <f>61/28</f>
        <v>2.1785714285714284</v>
      </c>
      <c r="AF40" s="9">
        <f>36/28</f>
        <v>1.2857142857142858</v>
      </c>
      <c r="AG40" s="9">
        <f>79/207</f>
        <v>0.38164251207729466</v>
      </c>
      <c r="AH40" s="9">
        <f>79/286</f>
        <v>0.2762237762237762</v>
      </c>
    </row>
    <row r="41" spans="2:34" x14ac:dyDescent="0.25">
      <c r="B41" s="1" t="s">
        <v>58</v>
      </c>
      <c r="X41" s="40">
        <f>SUBTOTAL(101,Table12[2019 P/E])</f>
        <v>3.0583163130354776</v>
      </c>
      <c r="Z41" s="40">
        <f>SUBTOTAL(101,Table12[2020 P/E])</f>
        <v>1.5639184574122911</v>
      </c>
      <c r="AA41" s="47">
        <f>SUBTOTAL(101,Table12[REV 3Yr Growth])</f>
        <v>2.1329202966318546</v>
      </c>
      <c r="AB41" s="47">
        <f>SUBTOTAL(101,Table12[ROA% TTM ])</f>
        <v>-2.3039999999999998E-2</v>
      </c>
      <c r="AC41" s="47">
        <f>SUBTOTAL(101,Table12[ROE % TTM ])</f>
        <v>-8.8349000000000011</v>
      </c>
      <c r="AD41" s="47">
        <f>SUBTOTAL(101,Table12[Net Margin% TTM])</f>
        <v>-0.14357</v>
      </c>
      <c r="AE41" s="9">
        <f>SUBTOTAL(101,Table12[Current Ratio])</f>
        <v>1.0224810386062764</v>
      </c>
      <c r="AF41" s="9">
        <f>SUBTOTAL(101,Table12[Cash Ratio])</f>
        <v>0.4689472957214374</v>
      </c>
      <c r="AG41" s="9">
        <f>SUBTOTAL(101,Table12[Debt-Equity])</f>
        <v>0.5616893556180782</v>
      </c>
      <c r="AH41" s="9">
        <f>SUBTOTAL(101,Table12[Debt-Assest])</f>
        <v>0.39479641170402996</v>
      </c>
    </row>
    <row r="45" spans="2:34" x14ac:dyDescent="0.25">
      <c r="P45" s="21"/>
    </row>
    <row r="49" spans="12:12" x14ac:dyDescent="0.25">
      <c r="L49" s="21"/>
    </row>
  </sheetData>
  <mergeCells count="5">
    <mergeCell ref="E3:H3"/>
    <mergeCell ref="I3:L3"/>
    <mergeCell ref="AA3:AD3"/>
    <mergeCell ref="AE3:AF3"/>
    <mergeCell ref="AG3:AI3"/>
  </mergeCells>
  <phoneticPr fontId="7" type="noConversion"/>
  <conditionalFormatting sqref="O5:P9 P12:P18">
    <cfRule type="cellIs" dxfId="5" priority="9" operator="lessThan">
      <formula>0</formula>
    </cfRule>
  </conditionalFormatting>
  <conditionalFormatting sqref="O12:O18">
    <cfRule type="cellIs" dxfId="4" priority="6" operator="lessThan">
      <formula>0</formula>
    </cfRule>
  </conditionalFormatting>
  <pageMargins left="0.7" right="0.7" top="0.75" bottom="0.75" header="0.3" footer="0.3"/>
  <legacyDrawing r:id="rId1"/>
  <tableParts count="5">
    <tablePart r:id="rId2"/>
    <tablePart r:id="rId3"/>
    <tablePart r:id="rId4"/>
    <tablePart r:id="rId5"/>
    <tablePart r:id="rId6"/>
  </tableParts>
  <extLst>
    <ext xmlns:x14="http://schemas.microsoft.com/office/spreadsheetml/2009/9/main" uri="{05C60535-1F16-4fd2-B633-F4F36F0B64E0}">
      <x14:sparklineGroups xmlns:xm="http://schemas.microsoft.com/office/excel/2006/main">
        <x14:sparklineGroup manualMax="0" manualMin="0" displayEmptyCellsAs="gap" low="1" xr2:uid="{7CAC66CB-FA6E-4458-89D8-A07FECEF57FC}">
          <x14:colorSeries rgb="FF376092"/>
          <x14:colorNegative rgb="FFD00000"/>
          <x14:colorAxis rgb="FF000000"/>
          <x14:colorMarkers rgb="FFD00000"/>
          <x14:colorFirst rgb="FFD00000"/>
          <x14:colorLast rgb="FFD00000"/>
          <x14:colorHigh rgb="FFD00000"/>
          <x14:colorLow rgb="FFD00000"/>
          <x14:sparklines>
            <x14:sparkline>
              <xm:f>'Production &amp; FA'!K32:M32</xm:f>
              <xm:sqref>N32</xm:sqref>
            </x14:sparkline>
          </x14:sparklines>
        </x14:sparklineGroup>
        <x14:sparklineGroup manualMax="0" manualMin="0" type="column" displayEmptyCellsAs="gap" low="1" negative="1" xr2:uid="{0161EAA4-EF86-4895-BC56-199FE02E916C}">
          <x14:colorSeries rgb="FF376092"/>
          <x14:colorNegative rgb="FFD00000"/>
          <x14:colorAxis rgb="FF000000"/>
          <x14:colorMarkers rgb="FFD00000"/>
          <x14:colorFirst rgb="FFD00000"/>
          <x14:colorLast rgb="FFD00000"/>
          <x14:colorHigh rgb="FFD00000"/>
          <x14:colorLow rgb="FFD00000"/>
          <x14:sparklines>
            <x14:sparkline>
              <xm:f>'Production &amp; FA'!F32:H32</xm:f>
              <xm:sqref>J32</xm:sqref>
            </x14:sparkline>
          </x14:sparklines>
        </x14:sparklineGroup>
        <x14:sparklineGroup manualMax="0" manualMin="0" displayEmptyCellsAs="gap" low="1" xr2:uid="{165FAB31-92E8-4B35-BD40-5C3438EF21E2}">
          <x14:colorSeries rgb="FF376092"/>
          <x14:colorNegative rgb="FFD00000"/>
          <x14:colorAxis rgb="FF000000"/>
          <x14:colorMarkers rgb="FFD00000"/>
          <x14:colorFirst rgb="FFD00000"/>
          <x14:colorLast rgb="FFD00000"/>
          <x14:colorHigh rgb="FFD00000"/>
          <x14:colorLow rgb="FFD00000"/>
          <x14:sparklines>
            <x14:sparkline>
              <xm:f>'Production &amp; FA'!K31:M31</xm:f>
              <xm:sqref>N31</xm:sqref>
            </x14:sparkline>
          </x14:sparklines>
        </x14:sparklineGroup>
        <x14:sparklineGroup manualMax="0" manualMin="0" type="column" displayEmptyCellsAs="gap" low="1" negative="1" xr2:uid="{7A1F9409-B0F9-4153-9819-336877319967}">
          <x14:colorSeries rgb="FF376092"/>
          <x14:colorNegative rgb="FFD00000"/>
          <x14:colorAxis rgb="FF000000"/>
          <x14:colorMarkers rgb="FFD00000"/>
          <x14:colorFirst rgb="FFD00000"/>
          <x14:colorLast rgb="FFD00000"/>
          <x14:colorHigh rgb="FFD00000"/>
          <x14:colorLow rgb="FFD00000"/>
          <x14:sparklines>
            <x14:sparkline>
              <xm:f>'Production &amp; FA'!F31:H31</xm:f>
              <xm:sqref>J31</xm:sqref>
            </x14:sparkline>
          </x14:sparklines>
        </x14:sparklineGroup>
        <x14:sparklineGroup manualMax="0" manualMin="0" displayEmptyCellsAs="gap" low="1" xr2:uid="{C81CA3EB-2D78-4A9C-AAFC-FA8724E8D413}">
          <x14:colorSeries rgb="FF376092"/>
          <x14:colorNegative rgb="FFD00000"/>
          <x14:colorAxis rgb="FF000000"/>
          <x14:colorMarkers rgb="FFD00000"/>
          <x14:colorFirst rgb="FFD00000"/>
          <x14:colorLast rgb="FFD00000"/>
          <x14:colorHigh rgb="FFD00000"/>
          <x14:colorLow rgb="FFD00000"/>
          <x14:sparklines>
            <x14:sparkline>
              <xm:f>'Production &amp; FA'!K27:M27</xm:f>
              <xm:sqref>N27</xm:sqref>
            </x14:sparkline>
          </x14:sparklines>
        </x14:sparklineGroup>
        <x14:sparklineGroup manualMax="0" manualMin="0" type="column" displayEmptyCellsAs="gap" low="1" negative="1" xr2:uid="{257D1CE5-6CBF-4BD1-BCE0-5EDD965FA027}">
          <x14:colorSeries rgb="FF376092"/>
          <x14:colorNegative rgb="FFD00000"/>
          <x14:colorAxis rgb="FF000000"/>
          <x14:colorMarkers rgb="FFD00000"/>
          <x14:colorFirst rgb="FFD00000"/>
          <x14:colorLast rgb="FFD00000"/>
          <x14:colorHigh rgb="FFD00000"/>
          <x14:colorLow rgb="FFD00000"/>
          <x14:sparklines>
            <x14:sparkline>
              <xm:f>'Production &amp; FA'!F27:H27</xm:f>
              <xm:sqref>J27</xm:sqref>
            </x14:sparkline>
          </x14:sparklines>
        </x14:sparklineGroup>
        <x14:sparklineGroup manualMax="0" manualMin="0" displayEmptyCellsAs="gap" low="1" xr2:uid="{EBBDFCEF-4D8F-4C3D-82BA-84C7E49072D6}">
          <x14:colorSeries rgb="FF376092"/>
          <x14:colorNegative rgb="FFD00000"/>
          <x14:colorAxis rgb="FF000000"/>
          <x14:colorMarkers rgb="FFD00000"/>
          <x14:colorFirst rgb="FFD00000"/>
          <x14:colorLast rgb="FFD00000"/>
          <x14:colorHigh rgb="FFD00000"/>
          <x14:colorLow rgb="FFD00000"/>
          <x14:sparklines>
            <x14:sparkline>
              <xm:f>'Production &amp; FA'!K26:M26</xm:f>
              <xm:sqref>N26</xm:sqref>
            </x14:sparkline>
          </x14:sparklines>
        </x14:sparklineGroup>
        <x14:sparklineGroup manualMax="0" manualMin="0" type="column" displayEmptyCellsAs="gap" low="1" negative="1" xr2:uid="{C2AF903A-ABCC-49E8-8E37-94828762FEFF}">
          <x14:colorSeries rgb="FF376092"/>
          <x14:colorNegative rgb="FFD00000"/>
          <x14:colorAxis rgb="FF000000"/>
          <x14:colorMarkers rgb="FFD00000"/>
          <x14:colorFirst rgb="FFD00000"/>
          <x14:colorLast rgb="FFD00000"/>
          <x14:colorHigh rgb="FFD00000"/>
          <x14:colorLow rgb="FFD00000"/>
          <x14:sparklines>
            <x14:sparkline>
              <xm:f>'Production &amp; FA'!F26:H26</xm:f>
              <xm:sqref>J26</xm:sqref>
            </x14:sparkline>
          </x14:sparklines>
        </x14:sparklineGroup>
        <x14:sparklineGroup manualMax="0" manualMin="0" displayEmptyCellsAs="gap" low="1" xr2:uid="{73B9E85C-68BA-4A1B-88B3-439765ADFAE7}">
          <x14:colorSeries rgb="FF376092"/>
          <x14:colorNegative rgb="FFD00000"/>
          <x14:colorAxis rgb="FF000000"/>
          <x14:colorMarkers rgb="FFD00000"/>
          <x14:colorFirst rgb="FFD00000"/>
          <x14:colorLast rgb="FFD00000"/>
          <x14:colorHigh rgb="FFD00000"/>
          <x14:colorLow rgb="FFD00000"/>
          <x14:sparklines>
            <x14:sparkline>
              <xm:f>'Production &amp; FA'!K25:M25</xm:f>
              <xm:sqref>N25</xm:sqref>
            </x14:sparkline>
          </x14:sparklines>
        </x14:sparklineGroup>
        <x14:sparklineGroup manualMax="0" manualMin="0" type="column" displayEmptyCellsAs="gap" low="1" negative="1" xr2:uid="{4CEF7C22-4CE0-4F4B-A1E9-B35EF1C10E1D}">
          <x14:colorSeries rgb="FF376092"/>
          <x14:colorNegative rgb="FFD00000"/>
          <x14:colorAxis rgb="FF000000"/>
          <x14:colorMarkers rgb="FFD00000"/>
          <x14:colorFirst rgb="FFD00000"/>
          <x14:colorLast rgb="FFD00000"/>
          <x14:colorHigh rgb="FFD00000"/>
          <x14:colorLow rgb="FFD00000"/>
          <x14:sparklines>
            <x14:sparkline>
              <xm:f>'Production &amp; FA'!F25:H25</xm:f>
              <xm:sqref>J25</xm:sqref>
            </x14:sparkline>
          </x14:sparklines>
        </x14:sparklineGroup>
        <x14:sparklineGroup manualMax="0" manualMin="0" displayEmptyCellsAs="gap" low="1" xr2:uid="{BEE3BC2C-ED1E-4456-B6EB-2315E38C0B61}">
          <x14:colorSeries rgb="FF376092"/>
          <x14:colorNegative rgb="FFD00000"/>
          <x14:colorAxis rgb="FF000000"/>
          <x14:colorMarkers rgb="FFD00000"/>
          <x14:colorFirst rgb="FFD00000"/>
          <x14:colorLast rgb="FFD00000"/>
          <x14:colorHigh rgb="FFD00000"/>
          <x14:colorLow rgb="FFD00000"/>
          <x14:sparklines>
            <x14:sparkline>
              <xm:f>'Production &amp; FA'!K24:M24</xm:f>
              <xm:sqref>N24</xm:sqref>
            </x14:sparkline>
          </x14:sparklines>
        </x14:sparklineGroup>
        <x14:sparklineGroup manualMax="0" manualMin="0" type="column" displayEmptyCellsAs="gap" low="1" negative="1" xr2:uid="{E5DBB831-4DF9-4964-A8A3-B6321561C105}">
          <x14:colorSeries rgb="FF376092"/>
          <x14:colorNegative rgb="FFD00000"/>
          <x14:colorAxis rgb="FF000000"/>
          <x14:colorMarkers rgb="FFD00000"/>
          <x14:colorFirst rgb="FFD00000"/>
          <x14:colorLast rgb="FFD00000"/>
          <x14:colorHigh rgb="FFD00000"/>
          <x14:colorLow rgb="FFD00000"/>
          <x14:sparklines>
            <x14:sparkline>
              <xm:f>'Production &amp; FA'!F24:H24</xm:f>
              <xm:sqref>J24</xm:sqref>
            </x14:sparkline>
          </x14:sparklines>
        </x14:sparklineGroup>
        <x14:sparklineGroup manualMax="0" manualMin="0" displayEmptyCellsAs="gap" low="1" xr2:uid="{BE47BA4A-D661-4096-AB89-43CC36608AD6}">
          <x14:colorSeries rgb="FF376092"/>
          <x14:colorNegative rgb="FFD00000"/>
          <x14:colorAxis rgb="FF000000"/>
          <x14:colorMarkers rgb="FFD00000"/>
          <x14:colorFirst rgb="FFD00000"/>
          <x14:colorLast rgb="FFD00000"/>
          <x14:colorHigh rgb="FFD00000"/>
          <x14:colorLow rgb="FFD00000"/>
          <x14:sparklines>
            <x14:sparkline>
              <xm:f>'Production &amp; FA'!K23:M23</xm:f>
              <xm:sqref>N23</xm:sqref>
            </x14:sparkline>
          </x14:sparklines>
        </x14:sparklineGroup>
        <x14:sparklineGroup manualMax="0" manualMin="0" type="column" displayEmptyCellsAs="gap" low="1" negative="1" xr2:uid="{61C95C45-CDCA-4BB0-952E-E3FCAAEE6C50}">
          <x14:colorSeries rgb="FF376092"/>
          <x14:colorNegative rgb="FFD00000"/>
          <x14:colorAxis rgb="FF000000"/>
          <x14:colorMarkers rgb="FFD00000"/>
          <x14:colorFirst rgb="FFD00000"/>
          <x14:colorLast rgb="FFD00000"/>
          <x14:colorHigh rgb="FFD00000"/>
          <x14:colorLow rgb="FFD00000"/>
          <x14:sparklines>
            <x14:sparkline>
              <xm:f>'Production &amp; FA'!F23:H23</xm:f>
              <xm:sqref>J23</xm:sqref>
            </x14:sparkline>
          </x14:sparklines>
        </x14:sparklineGroup>
        <x14:sparklineGroup manualMax="0" manualMin="0" displayEmptyCellsAs="gap" low="1" xr2:uid="{D30D5F93-E604-49AB-9F5B-8516A1DE6176}">
          <x14:colorSeries rgb="FF376092"/>
          <x14:colorNegative rgb="FFD00000"/>
          <x14:colorAxis rgb="FF000000"/>
          <x14:colorMarkers rgb="FFD00000"/>
          <x14:colorFirst rgb="FFD00000"/>
          <x14:colorLast rgb="FFD00000"/>
          <x14:colorHigh rgb="FFD00000"/>
          <x14:colorLow rgb="FFD00000"/>
          <x14:sparklines>
            <x14:sparkline>
              <xm:f>'Production &amp; FA'!K22:M22</xm:f>
              <xm:sqref>N22</xm:sqref>
            </x14:sparkline>
          </x14:sparklines>
        </x14:sparklineGroup>
        <x14:sparklineGroup manualMax="0" manualMin="0" type="column" displayEmptyCellsAs="gap" low="1" negative="1" xr2:uid="{2019F2A4-42DD-49E6-8DBB-F89949469E2C}">
          <x14:colorSeries rgb="FF376092"/>
          <x14:colorNegative rgb="FFD00000"/>
          <x14:colorAxis rgb="FF000000"/>
          <x14:colorMarkers rgb="FFD00000"/>
          <x14:colorFirst rgb="FFD00000"/>
          <x14:colorLast rgb="FFD00000"/>
          <x14:colorHigh rgb="FFD00000"/>
          <x14:colorLow rgb="FFD00000"/>
          <x14:sparklines>
            <x14:sparkline>
              <xm:f>'Production &amp; FA'!F22:H22</xm:f>
              <xm:sqref>J22</xm:sqref>
            </x14:sparkline>
          </x14:sparklines>
        </x14:sparklineGroup>
        <x14:sparklineGroup manualMax="0" manualMin="0" displayEmptyCellsAs="gap" low="1" xr2:uid="{0A720067-E98B-4DBD-9A3C-5E219EF0CDE4}">
          <x14:colorSeries rgb="FF376092"/>
          <x14:colorNegative rgb="FFD00000"/>
          <x14:colorAxis rgb="FF000000"/>
          <x14:colorMarkers rgb="FFD00000"/>
          <x14:colorFirst rgb="FFD00000"/>
          <x14:colorLast rgb="FFD00000"/>
          <x14:colorHigh rgb="FFD00000"/>
          <x14:colorLow rgb="FFD00000"/>
          <x14:sparklines>
            <x14:sparkline>
              <xm:f>'Production &amp; FA'!K21:M21</xm:f>
              <xm:sqref>N21</xm:sqref>
            </x14:sparkline>
          </x14:sparklines>
        </x14:sparklineGroup>
        <x14:sparklineGroup manualMax="0" manualMin="0" type="column" displayEmptyCellsAs="gap" low="1" negative="1" xr2:uid="{8F2AA913-BDA3-4475-B393-BDC8CEA52568}">
          <x14:colorSeries rgb="FF376092"/>
          <x14:colorNegative rgb="FFD00000"/>
          <x14:colorAxis rgb="FF000000"/>
          <x14:colorMarkers rgb="FFD00000"/>
          <x14:colorFirst rgb="FFD00000"/>
          <x14:colorLast rgb="FFD00000"/>
          <x14:colorHigh rgb="FFD00000"/>
          <x14:colorLow rgb="FFD00000"/>
          <x14:sparklines>
            <x14:sparkline>
              <xm:f>'Production &amp; FA'!F21:H21</xm:f>
              <xm:sqref>J21</xm:sqref>
            </x14:sparkline>
          </x14:sparklines>
        </x14:sparklineGroup>
        <x14:sparklineGroup manualMax="0" manualMin="0" displayEmptyCellsAs="gap" low="1" xr2:uid="{81491B5B-BBC3-4153-B8AA-5DDB2D694969}">
          <x14:colorSeries rgb="FF376092"/>
          <x14:colorNegative rgb="FFD00000"/>
          <x14:colorAxis rgb="FF000000"/>
          <x14:colorMarkers rgb="FFD00000"/>
          <x14:colorFirst rgb="FFD00000"/>
          <x14:colorLast rgb="FFD00000"/>
          <x14:colorHigh rgb="FFD00000"/>
          <x14:colorLow rgb="FFD00000"/>
          <x14:sparklines>
            <x14:sparkline>
              <xm:f>'Production &amp; FA'!K18:M18</xm:f>
              <xm:sqref>N18</xm:sqref>
            </x14:sparkline>
          </x14:sparklines>
        </x14:sparklineGroup>
        <x14:sparklineGroup manualMax="0" manualMin="0" type="column" displayEmptyCellsAs="gap" low="1" negative="1" xr2:uid="{25710CBF-9DA4-4157-B53D-F408E33374AF}">
          <x14:colorSeries rgb="FF376092"/>
          <x14:colorNegative rgb="FFD00000"/>
          <x14:colorAxis rgb="FF000000"/>
          <x14:colorMarkers rgb="FFD00000"/>
          <x14:colorFirst rgb="FFD00000"/>
          <x14:colorLast rgb="FFD00000"/>
          <x14:colorHigh rgb="FFD00000"/>
          <x14:colorLow rgb="FFD00000"/>
          <x14:sparklines>
            <x14:sparkline>
              <xm:f>'Production &amp; FA'!F18:H18</xm:f>
              <xm:sqref>J18</xm:sqref>
            </x14:sparkline>
          </x14:sparklines>
        </x14:sparklineGroup>
        <x14:sparklineGroup manualMax="0" manualMin="0" displayEmptyCellsAs="gap" low="1" xr2:uid="{31F2DEBA-1DED-473A-8B0E-660A87E0E8BF}">
          <x14:colorSeries rgb="FF376092"/>
          <x14:colorNegative rgb="FFD00000"/>
          <x14:colorAxis rgb="FF000000"/>
          <x14:colorMarkers rgb="FFD00000"/>
          <x14:colorFirst rgb="FFD00000"/>
          <x14:colorLast rgb="FFD00000"/>
          <x14:colorHigh rgb="FFD00000"/>
          <x14:colorLow rgb="FFD00000"/>
          <x14:sparklines>
            <x14:sparkline>
              <xm:f>'Production &amp; FA'!K17:M17</xm:f>
              <xm:sqref>N17</xm:sqref>
            </x14:sparkline>
          </x14:sparklines>
        </x14:sparklineGroup>
        <x14:sparklineGroup manualMax="0" manualMin="0" type="column" displayEmptyCellsAs="gap" low="1" negative="1" xr2:uid="{4DEC799B-1C59-4B11-900B-572C2395AC3A}">
          <x14:colorSeries rgb="FF376092"/>
          <x14:colorNegative rgb="FFD00000"/>
          <x14:colorAxis rgb="FF000000"/>
          <x14:colorMarkers rgb="FFD00000"/>
          <x14:colorFirst rgb="FFD00000"/>
          <x14:colorLast rgb="FFD00000"/>
          <x14:colorHigh rgb="FFD00000"/>
          <x14:colorLow rgb="FFD00000"/>
          <x14:sparklines>
            <x14:sparkline>
              <xm:f>'Production &amp; FA'!F17:H17</xm:f>
              <xm:sqref>J17</xm:sqref>
            </x14:sparkline>
          </x14:sparklines>
        </x14:sparklineGroup>
        <x14:sparklineGroup manualMax="0" manualMin="0" displayEmptyCellsAs="gap" low="1" xr2:uid="{AF523E0F-257B-4310-B101-6DBEB96A9B44}">
          <x14:colorSeries rgb="FF376092"/>
          <x14:colorNegative rgb="FFD00000"/>
          <x14:colorAxis rgb="FF000000"/>
          <x14:colorMarkers rgb="FFD00000"/>
          <x14:colorFirst rgb="FFD00000"/>
          <x14:colorLast rgb="FFD00000"/>
          <x14:colorHigh rgb="FFD00000"/>
          <x14:colorLow rgb="FFD00000"/>
          <x14:sparklines>
            <x14:sparkline>
              <xm:f>'Production &amp; FA'!K16:M16</xm:f>
              <xm:sqref>N16</xm:sqref>
            </x14:sparkline>
          </x14:sparklines>
        </x14:sparklineGroup>
        <x14:sparklineGroup manualMax="0" manualMin="0" type="column" displayEmptyCellsAs="gap" low="1" negative="1" xr2:uid="{84922D4D-1428-4EA0-BB85-5E692D704B8D}">
          <x14:colorSeries rgb="FF376092"/>
          <x14:colorNegative rgb="FFD00000"/>
          <x14:colorAxis rgb="FF000000"/>
          <x14:colorMarkers rgb="FFD00000"/>
          <x14:colorFirst rgb="FFD00000"/>
          <x14:colorLast rgb="FFD00000"/>
          <x14:colorHigh rgb="FFD00000"/>
          <x14:colorLow rgb="FFD00000"/>
          <x14:sparklines>
            <x14:sparkline>
              <xm:f>'Production &amp; FA'!F16:H16</xm:f>
              <xm:sqref>J16</xm:sqref>
            </x14:sparkline>
          </x14:sparklines>
        </x14:sparklineGroup>
        <x14:sparklineGroup manualMax="0" manualMin="0" type="column" displayEmptyCellsAs="gap" low="1" negative="1" xr2:uid="{AD483E46-C40B-4924-8427-B4000D2AACF8}">
          <x14:colorSeries rgb="FF376092"/>
          <x14:colorNegative rgb="FFD00000"/>
          <x14:colorAxis rgb="FF000000"/>
          <x14:colorMarkers rgb="FFD00000"/>
          <x14:colorFirst rgb="FFD00000"/>
          <x14:colorLast rgb="FFD00000"/>
          <x14:colorHigh rgb="FFD00000"/>
          <x14:colorLow rgb="FFD00000"/>
          <x14:sparklines>
            <x14:sparkline>
              <xm:f>'Production &amp; FA'!F8:H8</xm:f>
              <xm:sqref>J8</xm:sqref>
            </x14:sparkline>
          </x14:sparklines>
        </x14:sparklineGroup>
        <x14:sparklineGroup manualMax="0" manualMin="0" type="column" displayEmptyCellsAs="gap" low="1" negative="1" xr2:uid="{82B3A928-BD39-4113-8DFF-42B95879A89B}">
          <x14:colorSeries rgb="FF376092"/>
          <x14:colorNegative rgb="FFD00000"/>
          <x14:colorAxis rgb="FF000000"/>
          <x14:colorMarkers rgb="FFD00000"/>
          <x14:colorFirst rgb="FFD00000"/>
          <x14:colorLast rgb="FFD00000"/>
          <x14:colorHigh rgb="FFD00000"/>
          <x14:colorLow rgb="FFD00000"/>
          <x14:sparklines>
            <x14:sparkline>
              <xm:f>'Production &amp; FA'!F7:H7</xm:f>
              <xm:sqref>J7</xm:sqref>
            </x14:sparkline>
          </x14:sparklines>
        </x14:sparklineGroup>
        <x14:sparklineGroup manualMax="0" manualMin="0" displayEmptyCellsAs="gap" low="1" xr2:uid="{D8C840A6-DBFA-4480-B9A2-7420DAC84B1F}">
          <x14:colorSeries rgb="FF376092"/>
          <x14:colorNegative rgb="FFD00000"/>
          <x14:colorAxis rgb="FF000000"/>
          <x14:colorMarkers rgb="FFD00000"/>
          <x14:colorFirst rgb="FFD00000"/>
          <x14:colorLast rgb="FFD00000"/>
          <x14:colorHigh rgb="FFD00000"/>
          <x14:colorLow rgb="FFD00000"/>
          <x14:sparklines>
            <x14:sparkline>
              <xm:f>'Production &amp; FA'!K12:M12</xm:f>
              <xm:sqref>N12</xm:sqref>
            </x14:sparkline>
          </x14:sparklines>
        </x14:sparklineGroup>
        <x14:sparklineGroup manualMax="0" manualMin="0" displayEmptyCellsAs="gap" low="1" xr2:uid="{2050AE3D-2B9F-4252-9249-2BA529F05EB6}">
          <x14:colorSeries rgb="FF376092"/>
          <x14:colorNegative rgb="FFD00000"/>
          <x14:colorAxis rgb="FF000000"/>
          <x14:colorMarkers rgb="FFD00000"/>
          <x14:colorFirst rgb="FFD00000"/>
          <x14:colorLast rgb="FFD00000"/>
          <x14:colorHigh rgb="FFD00000"/>
          <x14:colorLow rgb="FFD00000"/>
          <x14:sparklines>
            <x14:sparkline>
              <xm:f>'Production &amp; FA'!K13:M13</xm:f>
              <xm:sqref>N13</xm:sqref>
            </x14:sparkline>
          </x14:sparklines>
        </x14:sparklineGroup>
        <x14:sparklineGroup manualMax="0" manualMin="0" type="column" displayEmptyCellsAs="gap" low="1" negative="1" xr2:uid="{56EA88DE-A266-4474-B2FD-51464670D8E5}">
          <x14:colorSeries rgb="FF376092"/>
          <x14:colorNegative rgb="FFD00000"/>
          <x14:colorAxis rgb="FF000000"/>
          <x14:colorMarkers rgb="FFD00000"/>
          <x14:colorFirst rgb="FFD00000"/>
          <x14:colorLast rgb="FFD00000"/>
          <x14:colorHigh rgb="FFD00000"/>
          <x14:colorLow rgb="FFD00000"/>
          <x14:sparklines>
            <x14:sparkline>
              <xm:f>'Production &amp; FA'!F12:H12</xm:f>
              <xm:sqref>J12</xm:sqref>
            </x14:sparkline>
            <x14:sparkline>
              <xm:f>'Production &amp; FA'!F13:H13</xm:f>
              <xm:sqref>J13</xm:sqref>
            </x14:sparkline>
            <x14:sparkline>
              <xm:f>'Production &amp; FA'!F14:H14</xm:f>
              <xm:sqref>J14</xm:sqref>
            </x14:sparkline>
          </x14:sparklines>
        </x14:sparklineGroup>
        <x14:sparklineGroup manualMax="0" manualMin="0" displayEmptyCellsAs="gap" low="1" xr2:uid="{BABE1B1A-EFD8-4172-8943-24CE457F0C4F}">
          <x14:colorSeries rgb="FF376092"/>
          <x14:colorNegative rgb="FFD00000"/>
          <x14:colorAxis rgb="FF000000"/>
          <x14:colorMarkers rgb="FFD00000"/>
          <x14:colorFirst rgb="FFD00000"/>
          <x14:colorLast rgb="FFD00000"/>
          <x14:colorHigh rgb="FFD00000"/>
          <x14:colorLow rgb="FFD00000"/>
          <x14:sparklines>
            <x14:sparkline>
              <xm:f>'Production &amp; FA'!K9:M9</xm:f>
              <xm:sqref>N9</xm:sqref>
            </x14:sparkline>
          </x14:sparklines>
        </x14:sparklineGroup>
        <x14:sparklineGroup manualMax="0" manualMin="0" displayEmptyCellsAs="gap" low="1" xr2:uid="{827B6CCC-17EA-4426-954A-9B49938CE16A}">
          <x14:colorSeries rgb="FF376092"/>
          <x14:colorNegative rgb="FFD00000"/>
          <x14:colorAxis rgb="FF000000"/>
          <x14:colorMarkers rgb="FFD00000"/>
          <x14:colorFirst rgb="FFD00000"/>
          <x14:colorLast rgb="FFD00000"/>
          <x14:colorHigh rgb="FFD00000"/>
          <x14:colorLow rgb="FFD00000"/>
          <x14:sparklines>
            <x14:sparkline>
              <xm:f>'Production &amp; FA'!K15:M15</xm:f>
              <xm:sqref>N15</xm:sqref>
            </x14:sparkline>
          </x14:sparklines>
        </x14:sparklineGroup>
        <x14:sparklineGroup manualMax="0" manualMin="0" type="column" displayEmptyCellsAs="gap" low="1" negative="1" xr2:uid="{CFB64AE7-A784-4E3A-ABA4-3E3561ECD457}">
          <x14:colorSeries rgb="FF376092"/>
          <x14:colorNegative rgb="FFD00000"/>
          <x14:colorAxis rgb="FF000000"/>
          <x14:colorMarkers rgb="FFD00000"/>
          <x14:colorFirst rgb="FFD00000"/>
          <x14:colorLast rgb="FFD00000"/>
          <x14:colorHigh rgb="FFD00000"/>
          <x14:colorLow rgb="FFD00000"/>
          <x14:sparklines>
            <x14:sparkline>
              <xm:f>'Production &amp; FA'!F15:H15</xm:f>
              <xm:sqref>J15</xm:sqref>
            </x14:sparkline>
          </x14:sparklines>
        </x14:sparklineGroup>
        <x14:sparklineGroup manualMax="0" manualMin="0" displayEmptyCellsAs="gap" low="1" xr2:uid="{6F7DC8DD-E754-422D-BF18-9ED0D70D27FB}">
          <x14:colorSeries rgb="FF376092"/>
          <x14:colorNegative rgb="FFD00000"/>
          <x14:colorAxis rgb="FF000000"/>
          <x14:colorMarkers rgb="FFD00000"/>
          <x14:colorFirst rgb="FFD00000"/>
          <x14:colorLast rgb="FFD00000"/>
          <x14:colorHigh rgb="FFD00000"/>
          <x14:colorLow rgb="FFD00000"/>
          <x14:sparklines>
            <x14:sparkline>
              <xm:f>'Production &amp; FA'!K8:M8</xm:f>
              <xm:sqref>N8</xm:sqref>
            </x14:sparkline>
          </x14:sparklines>
        </x14:sparklineGroup>
        <x14:sparklineGroup manualMax="0" manualMin="0" displayEmptyCellsAs="gap" low="1" xr2:uid="{B7ACE6EE-8138-4D11-AFF0-B3FF0B92F1C3}">
          <x14:colorSeries rgb="FF376092"/>
          <x14:colorNegative rgb="FFD00000"/>
          <x14:colorAxis rgb="FF000000"/>
          <x14:colorMarkers rgb="FFD00000"/>
          <x14:colorFirst rgb="FFD00000"/>
          <x14:colorLast rgb="FFD00000"/>
          <x14:colorHigh rgb="FFD00000"/>
          <x14:colorLow rgb="FFD00000"/>
          <x14:sparklines>
            <x14:sparkline>
              <xm:f>'Production &amp; FA'!K7:M7</xm:f>
              <xm:sqref>N7</xm:sqref>
            </x14:sparkline>
          </x14:sparklines>
        </x14:sparklineGroup>
        <x14:sparklineGroup manualMax="0" manualMin="0" displayEmptyCellsAs="gap" low="1" xr2:uid="{500FE500-A6E0-43A7-9ABB-556970400FC6}">
          <x14:colorSeries rgb="FF376092"/>
          <x14:colorNegative rgb="FFD00000"/>
          <x14:colorAxis rgb="FF000000"/>
          <x14:colorMarkers rgb="FFD00000"/>
          <x14:colorFirst rgb="FFD00000"/>
          <x14:colorLast rgb="FFD00000"/>
          <x14:colorHigh rgb="FFD00000"/>
          <x14:colorLow rgb="FFD00000"/>
          <x14:sparklines>
            <x14:sparkline>
              <xm:f>'Production &amp; FA'!K14:M14</xm:f>
              <xm:sqref>N14</xm:sqref>
            </x14:sparkline>
          </x14:sparklines>
        </x14:sparklineGroup>
        <x14:sparklineGroup manualMax="0" manualMin="0" displayEmptyCellsAs="gap" low="1" xr2:uid="{582076AB-644C-4B1D-92E3-9FB1496C42F3}">
          <x14:colorSeries rgb="FF376092"/>
          <x14:colorNegative rgb="FFD00000"/>
          <x14:colorAxis rgb="FF000000"/>
          <x14:colorMarkers rgb="FFD00000"/>
          <x14:colorFirst rgb="FFD00000"/>
          <x14:colorLast rgb="FFD00000"/>
          <x14:colorHigh rgb="FFD00000"/>
          <x14:colorLow rgb="FFD00000"/>
          <x14:sparklines>
            <x14:sparkline>
              <xm:f>'Production &amp; FA'!K6:M6</xm:f>
              <xm:sqref>N6</xm:sqref>
            </x14:sparkline>
          </x14:sparklines>
        </x14:sparklineGroup>
        <x14:sparklineGroup manualMax="0" manualMin="0" type="column" displayEmptyCellsAs="gap" low="1" negative="1" xr2:uid="{47FBD474-8206-4539-8907-58981751610D}">
          <x14:colorSeries rgb="FF376092"/>
          <x14:colorNegative rgb="FFD00000"/>
          <x14:colorAxis rgb="FF000000"/>
          <x14:colorMarkers rgb="FFD00000"/>
          <x14:colorFirst rgb="FFD00000"/>
          <x14:colorLast rgb="FFD00000"/>
          <x14:colorHigh rgb="FFD00000"/>
          <x14:colorLow rgb="FFD00000"/>
          <x14:sparklines>
            <x14:sparkline>
              <xm:f>'Production &amp; FA'!F6:H6</xm:f>
              <xm:sqref>J6</xm:sqref>
            </x14:sparkline>
            <x14:sparkline>
              <xm:f>'Production &amp; FA'!F9:H9</xm:f>
              <xm:sqref>J9</xm:sqref>
            </x14:sparkline>
          </x14:sparklines>
        </x14:sparklineGroup>
        <x14:sparklineGroup manualMax="0" manualMin="0" displayEmptyCellsAs="gap" low="1" xr2:uid="{FEDD0A3E-038B-4C31-9B63-72BE4B1F52AB}">
          <x14:colorSeries rgb="FF376092"/>
          <x14:colorNegative rgb="FFD00000"/>
          <x14:colorAxis rgb="FF000000"/>
          <x14:colorMarkers rgb="FFD00000"/>
          <x14:colorFirst rgb="FFD00000"/>
          <x14:colorLast rgb="FFD00000"/>
          <x14:colorHigh rgb="FFD00000"/>
          <x14:colorLow rgb="FFD00000"/>
          <x14:sparklines>
            <x14:sparkline>
              <xm:f>'Production &amp; FA'!K5:M5</xm:f>
              <xm:sqref>N5</xm:sqref>
            </x14:sparkline>
          </x14:sparklines>
        </x14:sparklineGroup>
        <x14:sparklineGroup manualMax="0" manualMin="0" type="column" displayEmptyCellsAs="gap" low="1" negative="1" xr2:uid="{99D28DB8-D58F-41AD-9D4C-4B6D442BF131}">
          <x14:colorSeries rgb="FF376092"/>
          <x14:colorNegative rgb="FFD00000"/>
          <x14:colorAxis rgb="FF000000"/>
          <x14:colorMarkers rgb="FFD00000"/>
          <x14:colorFirst rgb="FFD00000"/>
          <x14:colorLast rgb="FFD00000"/>
          <x14:colorHigh rgb="FFD00000"/>
          <x14:colorLow rgb="FFD00000"/>
          <x14:sparklines>
            <x14:sparkline>
              <xm:f>'Production &amp; FA'!F5:H5</xm:f>
              <xm:sqref>J5</xm:sqref>
            </x14:sparkline>
          </x14:sparklines>
        </x14:sparklineGroup>
        <x14:sparklineGroup manualMax="0" manualMin="0" type="column" displayEmptyCellsAs="gap" low="1" negative="1" xr2:uid="{F8998061-FDC0-4019-BD5A-864877A9365F}">
          <x14:colorSeries rgb="FF376092"/>
          <x14:colorNegative rgb="FFD00000"/>
          <x14:colorAxis rgb="FF000000"/>
          <x14:colorMarkers rgb="FFD00000"/>
          <x14:colorFirst rgb="FFD00000"/>
          <x14:colorLast rgb="FFD00000"/>
          <x14:colorHigh rgb="FFD00000"/>
          <x14:colorLow rgb="FFD00000"/>
          <x14:sparklines>
            <x14:sparkline>
              <xm:f>'Production &amp; FA'!F33:H33</xm:f>
              <xm:sqref>J33</xm:sqref>
            </x14:sparkline>
          </x14:sparklines>
        </x14:sparklineGroup>
        <x14:sparklineGroup manualMax="0" manualMin="0" displayEmptyCellsAs="gap" low="1" xr2:uid="{B480C1A7-BFA7-4A7F-8B72-55C656275814}">
          <x14:colorSeries rgb="FF376092"/>
          <x14:colorNegative rgb="FFD00000"/>
          <x14:colorAxis rgb="FF000000"/>
          <x14:colorMarkers rgb="FFD00000"/>
          <x14:colorFirst rgb="FFD00000"/>
          <x14:colorLast rgb="FFD00000"/>
          <x14:colorHigh rgb="FFD00000"/>
          <x14:colorLow rgb="FFD00000"/>
          <x14:sparklines>
            <x14:sparkline>
              <xm:f>'Production &amp; FA'!K33:M33</xm:f>
              <xm:sqref>N33</xm:sqref>
            </x14:sparkline>
          </x14:sparklines>
        </x14:sparklineGroup>
        <x14:sparklineGroup manualMax="0" manualMin="0" displayEmptyCellsAs="gap" low="1" xr2:uid="{81E97194-D134-4AF4-96A4-3C0090CDD176}">
          <x14:colorSeries rgb="FF376092"/>
          <x14:colorNegative rgb="FFD00000"/>
          <x14:colorAxis rgb="FF000000"/>
          <x14:colorMarkers rgb="FFD00000"/>
          <x14:colorFirst rgb="FFD00000"/>
          <x14:colorLast rgb="FFD00000"/>
          <x14:colorHigh rgb="FFD00000"/>
          <x14:colorLow rgb="FFD00000"/>
          <x14:sparklines>
            <x14:sparkline>
              <xm:f>'Production &amp; FA'!K34:M34</xm:f>
              <xm:sqref>N34</xm:sqref>
            </x14:sparkline>
          </x14:sparklines>
        </x14:sparklineGroup>
        <x14:sparklineGroup manualMax="0" manualMin="0" type="column" displayEmptyCellsAs="gap" low="1" negative="1" xr2:uid="{7737F4DC-ECEF-4F9D-B74E-302CAE9354A5}">
          <x14:colorSeries rgb="FF376092"/>
          <x14:colorNegative rgb="FFD00000"/>
          <x14:colorAxis rgb="FF000000"/>
          <x14:colorMarkers rgb="FFD00000"/>
          <x14:colorFirst rgb="FFD00000"/>
          <x14:colorLast rgb="FFD00000"/>
          <x14:colorHigh rgb="FFD00000"/>
          <x14:colorLow rgb="FFD00000"/>
          <x14:sparklines>
            <x14:sparkline>
              <xm:f>'Production &amp; FA'!F34:H34</xm:f>
              <xm:sqref>J34</xm:sqref>
            </x14:sparkline>
            <x14:sparkline>
              <xm:f>'Production &amp; FA'!F35:H35</xm:f>
              <xm:sqref>J35</xm:sqref>
            </x14:sparkline>
          </x14:sparklines>
        </x14:sparklineGroup>
        <x14:sparklineGroup manualMax="0" manualMin="0" displayEmptyCellsAs="gap" low="1" xr2:uid="{0D7041C8-D7D2-4831-A11B-C3CE79F3B79C}">
          <x14:colorSeries rgb="FF376092"/>
          <x14:colorNegative rgb="FFD00000"/>
          <x14:colorAxis rgb="FF000000"/>
          <x14:colorMarkers rgb="FFD00000"/>
          <x14:colorFirst rgb="FFD00000"/>
          <x14:colorLast rgb="FFD00000"/>
          <x14:colorHigh rgb="FFD00000"/>
          <x14:colorLow rgb="FFD00000"/>
          <x14:sparklines>
            <x14:sparkline>
              <xm:f>'Production &amp; FA'!K35:M35</xm:f>
              <xm:sqref>N35</xm:sqref>
            </x14:sparkline>
          </x14:sparklines>
        </x14:sparklineGroup>
        <x14:sparklineGroup manualMax="0" manualMin="0" type="column" displayEmptyCellsAs="gap" low="1" negative="1" xr2:uid="{E2F5039C-567A-4F84-A5BB-967341D89CF5}">
          <x14:colorSeries rgb="FF376092"/>
          <x14:colorNegative rgb="FFD00000"/>
          <x14:colorAxis rgb="FF000000"/>
          <x14:colorMarkers rgb="FFD00000"/>
          <x14:colorFirst rgb="FFD00000"/>
          <x14:colorLast rgb="FFD00000"/>
          <x14:colorHigh rgb="FFD00000"/>
          <x14:colorLow rgb="FFD00000"/>
          <x14:sparklines>
            <x14:sparkline>
              <xm:f>'Production &amp; FA'!F37:H37</xm:f>
              <xm:sqref>J37</xm:sqref>
            </x14:sparkline>
          </x14:sparklines>
        </x14:sparklineGroup>
        <x14:sparklineGroup manualMax="0" manualMin="0" type="column" displayEmptyCellsAs="gap" low="1" negative="1" xr2:uid="{0736BE21-5EC8-447A-B3F0-C8560EC3219C}">
          <x14:colorSeries rgb="FF376092"/>
          <x14:colorNegative rgb="FFD00000"/>
          <x14:colorAxis rgb="FF000000"/>
          <x14:colorMarkers rgb="FFD00000"/>
          <x14:colorFirst rgb="FFD00000"/>
          <x14:colorLast rgb="FFD00000"/>
          <x14:colorHigh rgb="FFD00000"/>
          <x14:colorLow rgb="FFD00000"/>
          <x14:sparklines>
            <x14:sparkline>
              <xm:f>'Production &amp; FA'!F36:H36</xm:f>
              <xm:sqref>J36</xm:sqref>
            </x14:sparkline>
          </x14:sparklines>
        </x14:sparklineGroup>
        <x14:sparklineGroup manualMax="0" manualMin="0" displayEmptyCellsAs="gap" low="1" xr2:uid="{05A12B91-DE44-448C-9DE1-EAEE61560C1E}">
          <x14:colorSeries rgb="FF376092"/>
          <x14:colorNegative rgb="FFD00000"/>
          <x14:colorAxis rgb="FF000000"/>
          <x14:colorMarkers rgb="FFD00000"/>
          <x14:colorFirst rgb="FFD00000"/>
          <x14:colorLast rgb="FFD00000"/>
          <x14:colorHigh rgb="FFD00000"/>
          <x14:colorLow rgb="FFD00000"/>
          <x14:sparklines>
            <x14:sparkline>
              <xm:f>'Production &amp; FA'!K36:M36</xm:f>
              <xm:sqref>N36</xm:sqref>
            </x14:sparkline>
          </x14:sparklines>
        </x14:sparklineGroup>
        <x14:sparklineGroup manualMax="0" manualMin="0" displayEmptyCellsAs="gap" low="1" xr2:uid="{F84500FD-F477-473F-8352-93DA9A34DA8C}">
          <x14:colorSeries rgb="FF376092"/>
          <x14:colorNegative rgb="FFD00000"/>
          <x14:colorAxis rgb="FF000000"/>
          <x14:colorMarkers rgb="FFD00000"/>
          <x14:colorFirst rgb="FFD00000"/>
          <x14:colorLast rgb="FFD00000"/>
          <x14:colorHigh rgb="FFD00000"/>
          <x14:colorLow rgb="FFD00000"/>
          <x14:sparklines>
            <x14:sparkline>
              <xm:f>'Production &amp; FA'!K37:M37</xm:f>
              <xm:sqref>N37</xm:sqref>
            </x14:sparkline>
          </x14:sparklines>
        </x14:sparklineGroup>
        <x14:sparklineGroup manualMax="0" manualMin="0" type="column" displayEmptyCellsAs="gap" low="1" negative="1" xr2:uid="{28E30FF0-5D9F-4C4D-8C54-6A445723B59E}">
          <x14:colorSeries rgb="FF376092"/>
          <x14:colorNegative rgb="FFD00000"/>
          <x14:colorAxis rgb="FF000000"/>
          <x14:colorMarkers rgb="FFD00000"/>
          <x14:colorFirst rgb="FFD00000"/>
          <x14:colorLast rgb="FFD00000"/>
          <x14:colorHigh rgb="FFD00000"/>
          <x14:colorLow rgb="FFD00000"/>
          <x14:sparklines>
            <x14:sparkline>
              <xm:f>'Production &amp; FA'!F38:H38</xm:f>
              <xm:sqref>J38</xm:sqref>
            </x14:sparkline>
          </x14:sparklines>
        </x14:sparklineGroup>
        <x14:sparklineGroup manualMax="0" manualMin="0" displayEmptyCellsAs="gap" low="1" xr2:uid="{103F6D1D-519C-4B3E-A783-9951B054B98F}">
          <x14:colorSeries rgb="FF376092"/>
          <x14:colorNegative rgb="FFD00000"/>
          <x14:colorAxis rgb="FF000000"/>
          <x14:colorMarkers rgb="FFD00000"/>
          <x14:colorFirst rgb="FFD00000"/>
          <x14:colorLast rgb="FFD00000"/>
          <x14:colorHigh rgb="FFD00000"/>
          <x14:colorLow rgb="FFD00000"/>
          <x14:sparklines>
            <x14:sparkline>
              <xm:f>'Production &amp; FA'!K38:M38</xm:f>
              <xm:sqref>N38</xm:sqref>
            </x14:sparkline>
          </x14:sparklines>
        </x14:sparklineGroup>
        <x14:sparklineGroup manualMax="0" manualMin="0" type="column" displayEmptyCellsAs="gap" low="1" negative="1" xr2:uid="{2F31700C-3784-441B-A82B-3BE58CD59266}">
          <x14:colorSeries rgb="FF376092"/>
          <x14:colorNegative rgb="FFD00000"/>
          <x14:colorAxis rgb="FF000000"/>
          <x14:colorMarkers rgb="FFD00000"/>
          <x14:colorFirst rgb="FFD00000"/>
          <x14:colorLast rgb="FFD00000"/>
          <x14:colorHigh rgb="FFD00000"/>
          <x14:colorLow rgb="FFD00000"/>
          <x14:sparklines>
            <x14:sparkline>
              <xm:f>'Production &amp; FA'!F39:H39</xm:f>
              <xm:sqref>J39</xm:sqref>
            </x14:sparkline>
          </x14:sparklines>
        </x14:sparklineGroup>
        <x14:sparklineGroup manualMax="0" manualMin="0" displayEmptyCellsAs="gap" low="1" xr2:uid="{69B4D531-645D-434C-BC75-7AB13BAF6B1E}">
          <x14:colorSeries rgb="FF376092"/>
          <x14:colorNegative rgb="FFD00000"/>
          <x14:colorAxis rgb="FF000000"/>
          <x14:colorMarkers rgb="FFD00000"/>
          <x14:colorFirst rgb="FFD00000"/>
          <x14:colorLast rgb="FFD00000"/>
          <x14:colorHigh rgb="FFD00000"/>
          <x14:colorLow rgb="FFD00000"/>
          <x14:sparklines>
            <x14:sparkline>
              <xm:f>'Production &amp; FA'!K39:M39</xm:f>
              <xm:sqref>N39</xm:sqref>
            </x14:sparkline>
          </x14:sparklines>
        </x14:sparklineGroup>
        <x14:sparklineGroup manualMax="0" manualMin="0" type="column" displayEmptyCellsAs="gap" low="1" negative="1" xr2:uid="{38A04F25-2F52-457A-9B10-6C164A448AD1}">
          <x14:colorSeries rgb="FF376092"/>
          <x14:colorNegative rgb="FFD00000"/>
          <x14:colorAxis rgb="FF000000"/>
          <x14:colorMarkers rgb="FFD00000"/>
          <x14:colorFirst rgb="FFD00000"/>
          <x14:colorLast rgb="FFD00000"/>
          <x14:colorHigh rgb="FFD00000"/>
          <x14:colorLow rgb="FFD00000"/>
          <x14:sparklines>
            <x14:sparkline>
              <xm:f>'Production &amp; FA'!F40:H40</xm:f>
              <xm:sqref>J40</xm:sqref>
            </x14:sparkline>
          </x14:sparklines>
        </x14:sparklineGroup>
        <x14:sparklineGroup manualMax="0" manualMin="0" displayEmptyCellsAs="gap" low="1" xr2:uid="{70FFBDAB-9453-4FA4-A51E-45CAA2311BAB}">
          <x14:colorSeries rgb="FF376092"/>
          <x14:colorNegative rgb="FFD00000"/>
          <x14:colorAxis rgb="FF000000"/>
          <x14:colorMarkers rgb="FFD00000"/>
          <x14:colorFirst rgb="FFD00000"/>
          <x14:colorLast rgb="FFD00000"/>
          <x14:colorHigh rgb="FFD00000"/>
          <x14:colorLow rgb="FFD00000"/>
          <x14:sparklines>
            <x14:sparkline>
              <xm:f>'Production &amp; FA'!K40:M40</xm:f>
              <xm:sqref>N40</xm:sqref>
            </x14:sparkline>
          </x14:sparklines>
        </x14:sparklineGroup>
      </x14:sparklineGroup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D075D-725B-4D18-8782-F7924C0AB522}">
  <sheetPr codeName="Sheet12">
    <tabColor rgb="FFFF0000"/>
  </sheetPr>
  <dimension ref="A1:AM30"/>
  <sheetViews>
    <sheetView workbookViewId="0">
      <pane xSplit="1" topLeftCell="B1" activePane="topRight" state="frozen"/>
      <selection pane="topRight" activeCell="A2" sqref="A2:A30"/>
    </sheetView>
  </sheetViews>
  <sheetFormatPr defaultRowHeight="15" x14ac:dyDescent="0.25"/>
  <cols>
    <col min="1" max="1" width="39.42578125" bestFit="1" customWidth="1"/>
    <col min="2" max="2" width="15.85546875" bestFit="1" customWidth="1"/>
    <col min="4" max="4" width="18.85546875" customWidth="1"/>
    <col min="5" max="5" width="16.85546875" bestFit="1" customWidth="1"/>
    <col min="6" max="6" width="9.7109375" customWidth="1"/>
    <col min="7" max="7" width="13.140625" customWidth="1"/>
    <col min="8" max="8" width="10.140625" customWidth="1"/>
    <col min="9" max="9" width="14.7109375" customWidth="1"/>
    <col min="10" max="10" width="14.140625" customWidth="1"/>
    <col min="11" max="12" width="13.28515625" bestFit="1" customWidth="1"/>
    <col min="13" max="13" width="20.85546875" customWidth="1"/>
    <col min="14" max="14" width="24.85546875" customWidth="1"/>
    <col min="15" max="15" width="12.85546875" customWidth="1"/>
    <col min="16" max="17" width="12.5703125" customWidth="1"/>
    <col min="18" max="18" width="21.42578125" customWidth="1"/>
    <col min="19" max="19" width="12.7109375" customWidth="1"/>
    <col min="20" max="20" width="13.85546875" customWidth="1"/>
    <col min="21" max="21" width="11.42578125" customWidth="1"/>
    <col min="22" max="22" width="14.28515625" bestFit="1" customWidth="1"/>
    <col min="23" max="23" width="7.42578125" customWidth="1"/>
    <col min="24" max="24" width="20.7109375" customWidth="1"/>
    <col min="25" max="25" width="15.85546875" customWidth="1"/>
    <col min="26" max="26" width="20.7109375" customWidth="1"/>
    <col min="27" max="27" width="14.28515625" bestFit="1" customWidth="1"/>
    <col min="28" max="28" width="13.85546875" customWidth="1"/>
    <col min="29" max="29" width="10.5703125" customWidth="1"/>
    <col min="30" max="30" width="10.7109375" customWidth="1"/>
    <col min="31" max="31" width="10.5703125" customWidth="1"/>
    <col min="32" max="32" width="17" customWidth="1"/>
    <col min="33" max="33" width="13.28515625" customWidth="1"/>
    <col min="34" max="34" width="13.42578125" customWidth="1"/>
    <col min="35" max="35" width="19" customWidth="1"/>
    <col min="36" max="36" width="14.85546875" customWidth="1"/>
    <col min="37" max="37" width="12.28515625" customWidth="1"/>
    <col min="38" max="38" width="13.7109375" customWidth="1"/>
    <col min="39" max="39" width="13.85546875" customWidth="1"/>
  </cols>
  <sheetData>
    <row r="1" spans="1:39" x14ac:dyDescent="0.25">
      <c r="A1" s="49" t="s">
        <v>75</v>
      </c>
      <c r="B1" s="49" t="s">
        <v>95</v>
      </c>
      <c r="C1" s="49" t="s">
        <v>10</v>
      </c>
      <c r="D1" s="49" t="s">
        <v>45</v>
      </c>
      <c r="E1" s="49" t="s">
        <v>78</v>
      </c>
      <c r="F1" s="49" t="s">
        <v>51</v>
      </c>
      <c r="G1" s="49" t="s">
        <v>49</v>
      </c>
      <c r="H1" s="49" t="s">
        <v>121</v>
      </c>
      <c r="I1" s="49" t="s">
        <v>47</v>
      </c>
      <c r="J1" s="49" t="s">
        <v>48</v>
      </c>
      <c r="K1" s="49" t="s">
        <v>11</v>
      </c>
      <c r="L1" s="49" t="s">
        <v>12</v>
      </c>
      <c r="M1" s="49" t="s">
        <v>57</v>
      </c>
      <c r="N1" s="49" t="s">
        <v>60</v>
      </c>
      <c r="O1" s="49" t="s">
        <v>65</v>
      </c>
      <c r="P1" s="49" t="s">
        <v>62</v>
      </c>
      <c r="Q1" s="49" t="s">
        <v>61</v>
      </c>
      <c r="R1" s="49" t="s">
        <v>63</v>
      </c>
      <c r="S1" s="49" t="s">
        <v>64</v>
      </c>
      <c r="T1" s="49" t="s">
        <v>68</v>
      </c>
      <c r="U1" s="49" t="s">
        <v>74</v>
      </c>
      <c r="V1" s="49" t="s">
        <v>70</v>
      </c>
      <c r="W1" s="49" t="s">
        <v>77</v>
      </c>
      <c r="X1" s="49" t="s">
        <v>76</v>
      </c>
      <c r="Y1" s="49" t="s">
        <v>72</v>
      </c>
      <c r="Z1" s="49" t="s">
        <v>73</v>
      </c>
      <c r="AA1" s="49" t="s">
        <v>58</v>
      </c>
      <c r="AB1" s="49" t="s">
        <v>79</v>
      </c>
      <c r="AC1" s="49" t="s">
        <v>84</v>
      </c>
      <c r="AD1" s="49" t="s">
        <v>90</v>
      </c>
      <c r="AE1" s="49" t="s">
        <v>85</v>
      </c>
      <c r="AF1" s="49" t="s">
        <v>86</v>
      </c>
      <c r="AG1" s="49" t="s">
        <v>87</v>
      </c>
      <c r="AH1" s="49" t="s">
        <v>88</v>
      </c>
      <c r="AI1" s="49" t="s">
        <v>89</v>
      </c>
      <c r="AJ1" s="49" t="s">
        <v>14</v>
      </c>
      <c r="AK1" s="49" t="s">
        <v>15</v>
      </c>
      <c r="AL1" s="49" t="s">
        <v>17</v>
      </c>
      <c r="AM1" s="49" t="s">
        <v>18</v>
      </c>
    </row>
    <row r="2" spans="1:39" x14ac:dyDescent="0.25">
      <c r="A2" t="e" vm="38">
        <f>'Production &amp; FA'!B5</f>
        <v>#VALUE!</v>
      </c>
      <c r="B2" t="s">
        <v>96</v>
      </c>
      <c r="C2">
        <f>'Production &amp; FA'!C5</f>
        <v>82.76</v>
      </c>
      <c r="D2" s="50">
        <f>'Production &amp; FA'!D5</f>
        <v>48281.46</v>
      </c>
      <c r="E2" s="50">
        <f>'Production &amp; FA'!E5</f>
        <v>583391251.81246972</v>
      </c>
      <c r="F2" s="51">
        <f t="shared" ref="F2:F30" si="0">_FV(A2,"Change")</f>
        <v>0.22</v>
      </c>
      <c r="G2" s="17">
        <f t="shared" ref="G2:G30" si="1">_FV(A2,"Change (%)",TRUE)</f>
        <v>2.6650000000000003E-3</v>
      </c>
      <c r="H2" s="52">
        <f t="shared" ref="H2:H30" si="2">_FV(A2,"Volume")</f>
        <v>228051</v>
      </c>
      <c r="I2" s="51">
        <f t="shared" ref="I2:I30" si="3">_FV(A2,"52 week high",TRUE)</f>
        <v>84.2</v>
      </c>
      <c r="J2" s="51">
        <f t="shared" ref="J2:J30" si="4">_FV(A2,"52 week low",TRUE)</f>
        <v>40.01</v>
      </c>
      <c r="K2" s="90">
        <f>'Production &amp; FA'!F5</f>
        <v>5101000</v>
      </c>
      <c r="L2" s="90">
        <f>'Production &amp; FA'!G5</f>
        <v>6004000</v>
      </c>
      <c r="M2" s="34">
        <f>'Production &amp; FA'!H5</f>
        <v>6400000</v>
      </c>
      <c r="N2" s="34">
        <f>'Production &amp; FA'!I5</f>
        <v>6400000</v>
      </c>
      <c r="O2" s="34">
        <f>'Production &amp; FA'!J5</f>
        <v>0</v>
      </c>
      <c r="P2" s="90">
        <f>'Production &amp; FA'!K5</f>
        <v>909</v>
      </c>
      <c r="Q2" s="90">
        <f>'Production &amp; FA'!L5</f>
        <v>966</v>
      </c>
      <c r="R2" s="90">
        <f>'Production &amp; FA'!M5</f>
        <v>975</v>
      </c>
      <c r="S2" s="34">
        <f>'Production &amp; FA'!N5</f>
        <v>0</v>
      </c>
      <c r="T2" s="34">
        <f>'Production &amp; FA'!O5</f>
        <v>590.91000000000008</v>
      </c>
      <c r="U2" s="53">
        <f>'Production &amp; FA'!P5</f>
        <v>0.3056606701534571</v>
      </c>
      <c r="V2" s="34">
        <f>'Production &amp; FA'!Q5</f>
        <v>3781824000.0000005</v>
      </c>
      <c r="W2" s="54">
        <f>'Production &amp; FA'!R5</f>
        <v>6.4824832190244468</v>
      </c>
      <c r="X2" s="90">
        <f>'Production &amp; FA'!S5</f>
        <v>65.400000000000006</v>
      </c>
      <c r="Y2" s="34">
        <f>'Production &amp; FA'!T5</f>
        <v>1400000</v>
      </c>
      <c r="Z2" s="34">
        <f>'Production &amp; FA'!U5</f>
        <v>827274000.00000012</v>
      </c>
      <c r="AA2" s="34">
        <f>'Production &amp; FA'!V5</f>
        <v>4609098000.000001</v>
      </c>
      <c r="AB2" s="54">
        <f>'Production &amp; FA'!W5</f>
        <v>12.766712570442197</v>
      </c>
      <c r="AC2" s="89">
        <f>'Production &amp; FA'!X5</f>
        <v>13.09</v>
      </c>
      <c r="AD2" s="54">
        <f>'Production &amp; FA'!Y5</f>
        <v>3.82</v>
      </c>
      <c r="AE2" s="34">
        <f>'Production &amp; FA'!Z5</f>
        <v>21.66492146596859</v>
      </c>
      <c r="AF2" s="53">
        <f>'Production &amp; FA'!AA5</f>
        <v>0.31978319783197839</v>
      </c>
      <c r="AG2" s="53">
        <f>'Production &amp; FA'!AB5</f>
        <v>9.4E-2</v>
      </c>
      <c r="AH2" s="53">
        <f>'Production &amp; FA'!AC5</f>
        <v>0.1757</v>
      </c>
      <c r="AI2" s="53">
        <f>'Production &amp; FA'!AD5</f>
        <v>0.28799999999999998</v>
      </c>
      <c r="AJ2" s="54">
        <f>'Production &amp; FA'!AE5</f>
        <v>2.629769392033543</v>
      </c>
      <c r="AK2" s="54">
        <f>'Production &amp; FA'!AF5</f>
        <v>1.0398322851153039</v>
      </c>
      <c r="AL2" s="54">
        <f>'Production &amp; FA'!AG5</f>
        <v>0.86619981325863682</v>
      </c>
      <c r="AM2" s="54">
        <f>'Production &amp; FA'!AH5</f>
        <v>0.46415169860409267</v>
      </c>
    </row>
    <row r="3" spans="1:39" x14ac:dyDescent="0.25">
      <c r="A3" t="e" vm="42">
        <f>'Production &amp; FA'!B6</f>
        <v>#VALUE!</v>
      </c>
      <c r="B3" t="s">
        <v>96</v>
      </c>
      <c r="C3">
        <f>'Production &amp; FA'!C6</f>
        <v>51.74</v>
      </c>
      <c r="D3" s="50">
        <f>'Production &amp; FA'!D6</f>
        <v>15191.53</v>
      </c>
      <c r="E3" s="50">
        <f>'Production &amp; FA'!E6</f>
        <v>293612872.05257052</v>
      </c>
      <c r="F3" s="51">
        <f t="shared" si="0"/>
        <v>-1.45</v>
      </c>
      <c r="G3" s="17">
        <f t="shared" si="1"/>
        <v>-2.7261000000000001E-2</v>
      </c>
      <c r="H3" s="52">
        <f t="shared" si="2"/>
        <v>2067289</v>
      </c>
      <c r="I3" s="51">
        <f t="shared" si="3"/>
        <v>67.87</v>
      </c>
      <c r="J3" s="51">
        <f t="shared" si="4"/>
        <v>25.67</v>
      </c>
      <c r="K3" s="90">
        <f>'Production &amp; FA'!F6</f>
        <v>723700</v>
      </c>
      <c r="L3" s="90">
        <f>'Production &amp; FA'!G6</f>
        <v>974615</v>
      </c>
      <c r="M3" s="34">
        <f>'Production &amp; FA'!H6</f>
        <v>1505000</v>
      </c>
      <c r="N3" s="34">
        <f>'Production &amp; FA'!I6</f>
        <v>1470000</v>
      </c>
      <c r="O3" s="34">
        <f>'Production &amp; FA'!J6</f>
        <v>0</v>
      </c>
      <c r="P3" s="90">
        <f>'Production &amp; FA'!K6</f>
        <v>685</v>
      </c>
      <c r="Q3" s="90">
        <f>'Production &amp; FA'!L6</f>
        <v>564</v>
      </c>
      <c r="R3" s="90">
        <f>'Production &amp; FA'!M6</f>
        <v>830</v>
      </c>
      <c r="S3" s="34">
        <f>'Production &amp; FA'!N6</f>
        <v>0</v>
      </c>
      <c r="T3" s="34">
        <f>'Production &amp; FA'!O6</f>
        <v>735.91000000000008</v>
      </c>
      <c r="U3" s="53">
        <f>'Production &amp; FA'!P6</f>
        <v>0.3806649807460199</v>
      </c>
      <c r="V3" s="34">
        <f>'Production &amp; FA'!Q6</f>
        <v>1081787700.0000002</v>
      </c>
      <c r="W3" s="54">
        <f>'Production &amp; FA'!R6</f>
        <v>3.6844014788503867</v>
      </c>
      <c r="X3" s="90">
        <f>'Production &amp; FA'!S6</f>
        <v>20.47</v>
      </c>
      <c r="Y3" s="34">
        <f>'Production &amp; FA'!T6</f>
        <v>0</v>
      </c>
      <c r="Z3" s="34">
        <f>'Production &amp; FA'!U6</f>
        <v>0</v>
      </c>
      <c r="AA3" s="34">
        <f>'Production &amp; FA'!V6</f>
        <v>1081787700.0000002</v>
      </c>
      <c r="AB3" s="54">
        <f>'Production &amp; FA'!W6</f>
        <v>14.042986438096861</v>
      </c>
      <c r="AC3" s="89">
        <f>'Production &amp; FA'!X6</f>
        <v>18.649999999999999</v>
      </c>
      <c r="AD3" s="54">
        <f>'Production &amp; FA'!Y6</f>
        <v>2.67</v>
      </c>
      <c r="AE3" s="34">
        <f>'Production &amp; FA'!Z6</f>
        <v>19.378277153558052</v>
      </c>
      <c r="AF3" s="53">
        <f>'Production &amp; FA'!AA6</f>
        <v>0.83999999999999986</v>
      </c>
      <c r="AG3" s="53">
        <f>'Production &amp; FA'!AB6</f>
        <v>0.26250000000000001</v>
      </c>
      <c r="AH3" s="53">
        <f>'Production &amp; FA'!AC6</f>
        <v>0.36370000000000002</v>
      </c>
      <c r="AI3" s="53">
        <f>'Production &amp; FA'!AD6</f>
        <v>0.40589999999999998</v>
      </c>
      <c r="AJ3" s="54">
        <f>'Production &amp; FA'!AE6</f>
        <v>1.9064748201438848</v>
      </c>
      <c r="AK3" s="54">
        <f>'Production &amp; FA'!AF6</f>
        <v>1.6954436450839327</v>
      </c>
      <c r="AL3" s="54">
        <f>'Production &amp; FA'!AG6</f>
        <v>0.40781507980187121</v>
      </c>
      <c r="AM3" s="54">
        <f>'Production &amp; FA'!AH6</f>
        <v>0.28967943706020327</v>
      </c>
    </row>
    <row r="4" spans="1:39" x14ac:dyDescent="0.25">
      <c r="A4" t="e" vm="46">
        <f>'Production &amp; FA'!B7</f>
        <v>#VALUE!</v>
      </c>
      <c r="B4" t="s">
        <v>96</v>
      </c>
      <c r="C4">
        <f>'Production &amp; FA'!C7</f>
        <v>73.5</v>
      </c>
      <c r="D4" s="50">
        <f>'Production &amp; FA'!D7</f>
        <v>17240.53</v>
      </c>
      <c r="E4" s="50">
        <f>'Production &amp; FA'!E7</f>
        <v>234565034.01360545</v>
      </c>
      <c r="F4" s="51">
        <f t="shared" si="0"/>
        <v>1.66</v>
      </c>
      <c r="G4" s="17">
        <f t="shared" si="1"/>
        <v>2.3107000000000003E-2</v>
      </c>
      <c r="H4" s="52">
        <f t="shared" si="2"/>
        <v>1094146</v>
      </c>
      <c r="I4" s="51">
        <f t="shared" si="3"/>
        <v>86.39</v>
      </c>
      <c r="J4" s="51">
        <f t="shared" si="4"/>
        <v>43.25</v>
      </c>
      <c r="K4" s="90">
        <f>'Production &amp; FA'!F7</f>
        <v>1626669</v>
      </c>
      <c r="L4" s="90">
        <f>'Production &amp; FA'!G7</f>
        <v>1782147</v>
      </c>
      <c r="M4" s="34">
        <f>'Production &amp; FA'!H7</f>
        <v>2000000</v>
      </c>
      <c r="N4" s="34">
        <f>'Production &amp; FA'!I7</f>
        <v>1875000</v>
      </c>
      <c r="O4" s="34">
        <f>'Production &amp; FA'!J7</f>
        <v>0</v>
      </c>
      <c r="P4" s="90">
        <f>'Production &amp; FA'!K7</f>
        <v>877</v>
      </c>
      <c r="Q4" s="90">
        <f>'Production &amp; FA'!L7</f>
        <v>938</v>
      </c>
      <c r="R4" s="90">
        <f>'Production &amp; FA'!M7</f>
        <v>1000</v>
      </c>
      <c r="S4" s="34">
        <f>'Production &amp; FA'!N7</f>
        <v>0</v>
      </c>
      <c r="T4" s="34">
        <f>'Production &amp; FA'!O7</f>
        <v>565.91000000000008</v>
      </c>
      <c r="U4" s="53">
        <f>'Production &amp; FA'!P7</f>
        <v>0.29272889246508427</v>
      </c>
      <c r="V4" s="34">
        <f>'Production &amp; FA'!Q7</f>
        <v>1061081250.0000001</v>
      </c>
      <c r="W4" s="54">
        <f>'Production &amp; FA'!R7</f>
        <v>4.5236122018870653</v>
      </c>
      <c r="X4" s="90">
        <f>'Production &amp; FA'!S7</f>
        <v>21.585000000000001</v>
      </c>
      <c r="Y4" s="34">
        <f>'Production &amp; FA'!T7</f>
        <v>0</v>
      </c>
      <c r="Z4" s="34">
        <f>'Production &amp; FA'!U7</f>
        <v>0</v>
      </c>
      <c r="AA4" s="34">
        <f>'Production &amp; FA'!V7</f>
        <v>1061081250.0000001</v>
      </c>
      <c r="AB4" s="54">
        <f>'Production &amp; FA'!W7</f>
        <v>16.248077138296431</v>
      </c>
      <c r="AC4" s="89">
        <f>'Production &amp; FA'!X7</f>
        <v>39.99</v>
      </c>
      <c r="AD4" s="54">
        <f>'Production &amp; FA'!Y7</f>
        <v>2</v>
      </c>
      <c r="AE4" s="34">
        <f>'Production &amp; FA'!Z7</f>
        <v>36.75</v>
      </c>
      <c r="AF4" s="53">
        <f>'Production &amp; FA'!AA7</f>
        <v>0.11160714285714285</v>
      </c>
      <c r="AG4" s="53">
        <f>'Production &amp; FA'!AB7</f>
        <v>5.6899999999999999E-2</v>
      </c>
      <c r="AH4" s="53">
        <f>'Production &amp; FA'!AC7</f>
        <v>9.7900000000000001E-2</v>
      </c>
      <c r="AI4" s="53">
        <f>'Production &amp; FA'!AD7</f>
        <v>0.18790000000000001</v>
      </c>
      <c r="AJ4" s="54">
        <f>'Production &amp; FA'!AE7</f>
        <v>1.5386597938144331</v>
      </c>
      <c r="AK4" s="54">
        <f>'Production &amp; FA'!AF7</f>
        <v>0.41494845360824745</v>
      </c>
      <c r="AL4" s="54">
        <f>'Production &amp; FA'!AG7</f>
        <v>0.71948356807511737</v>
      </c>
      <c r="AM4" s="54">
        <f>'Production &amp; FA'!AH7</f>
        <v>0.41843003412969282</v>
      </c>
    </row>
    <row r="5" spans="1:39" x14ac:dyDescent="0.25">
      <c r="A5" t="e" vm="8">
        <f>'Production &amp; FA'!B8</f>
        <v>#VALUE!</v>
      </c>
      <c r="B5" t="s">
        <v>96</v>
      </c>
      <c r="C5">
        <f>'Production &amp; FA'!C8</f>
        <v>34</v>
      </c>
      <c r="D5" s="50">
        <f>'Production &amp; FA'!D8</f>
        <v>59864.49</v>
      </c>
      <c r="E5" s="50">
        <f>'Production &amp; FA'!E8</f>
        <v>1760720294.1176472</v>
      </c>
      <c r="F5" s="51">
        <f t="shared" si="0"/>
        <v>0.21</v>
      </c>
      <c r="G5" s="17">
        <f t="shared" si="1"/>
        <v>6.2150000000000009E-3</v>
      </c>
      <c r="H5" s="52">
        <f t="shared" si="2"/>
        <v>8285295</v>
      </c>
      <c r="I5" s="51">
        <f t="shared" si="3"/>
        <v>34.49</v>
      </c>
      <c r="J5" s="51">
        <f t="shared" si="4"/>
        <v>15.72</v>
      </c>
      <c r="K5" s="90">
        <f>'Production &amp; FA'!F8</f>
        <v>4527000</v>
      </c>
      <c r="L5" s="90">
        <f>'Production &amp; FA'!G8</f>
        <v>5465000</v>
      </c>
      <c r="M5" s="34">
        <f>'Production &amp; FA'!H8</f>
        <v>5000000</v>
      </c>
      <c r="N5" s="34">
        <f>'Production &amp; FA'!I8</f>
        <v>5000000</v>
      </c>
      <c r="O5" s="34">
        <f>'Production &amp; FA'!J8</f>
        <v>0</v>
      </c>
      <c r="P5" s="90">
        <f>'Production &amp; FA'!K8</f>
        <v>806</v>
      </c>
      <c r="Q5" s="90">
        <f>'Production &amp; FA'!L8</f>
        <v>894</v>
      </c>
      <c r="R5" s="90">
        <f>'Production &amp; FA'!M8</f>
        <v>945</v>
      </c>
      <c r="S5" s="34">
        <f>'Production &amp; FA'!N8</f>
        <v>0</v>
      </c>
      <c r="T5" s="34">
        <f>'Production &amp; FA'!O8</f>
        <v>620.91000000000008</v>
      </c>
      <c r="U5" s="53">
        <f>'Production &amp; FA'!P8</f>
        <v>0.32117880337950461</v>
      </c>
      <c r="V5" s="34">
        <f>'Production &amp; FA'!Q8</f>
        <v>3104550000.0000005</v>
      </c>
      <c r="W5" s="54">
        <f>'Production &amp; FA'!R8</f>
        <v>1.7632272487412823</v>
      </c>
      <c r="X5" s="90">
        <f>'Production &amp; FA'!S8</f>
        <v>71</v>
      </c>
      <c r="Y5" s="34">
        <f>'Production &amp; FA'!T8</f>
        <v>470000000</v>
      </c>
      <c r="Z5" s="34">
        <f>'Production &amp; FA'!U8</f>
        <v>-78666250.000000134</v>
      </c>
      <c r="AA5" s="34">
        <f>'Production &amp; FA'!V8</f>
        <v>3025883750.0000005</v>
      </c>
      <c r="AB5" s="54">
        <f>'Production &amp; FA'!W8</f>
        <v>19.282823597622841</v>
      </c>
      <c r="AC5" s="89">
        <f>'Production &amp; FA'!X8</f>
        <v>41.03</v>
      </c>
      <c r="AD5" s="54">
        <f>'Production &amp; FA'!Y8</f>
        <v>2.2599999999999998</v>
      </c>
      <c r="AE5" s="34">
        <f>'Production &amp; FA'!Z8</f>
        <v>15.044247787610621</v>
      </c>
      <c r="AF5" s="53">
        <f>'Production &amp; FA'!AA8</f>
        <v>0.16129032258064535</v>
      </c>
      <c r="AG5" s="53">
        <f>'Production &amp; FA'!AB8</f>
        <v>0.11840000000000001</v>
      </c>
      <c r="AH5" s="53">
        <f>'Production &amp; FA'!AC8</f>
        <v>0.27350000000000002</v>
      </c>
      <c r="AI5" s="53">
        <f>'Production &amp; FA'!AD8</f>
        <v>0.40849999999999997</v>
      </c>
      <c r="AJ5" s="54">
        <f>'Production &amp; FA'!AE8</f>
        <v>2.8985690235690234</v>
      </c>
      <c r="AK5" s="54">
        <f>'Production &amp; FA'!AF8</f>
        <v>1.3947811447811447</v>
      </c>
      <c r="AL5" s="54">
        <f>'Production &amp; FA'!AG8</f>
        <v>1.0712952594251586</v>
      </c>
      <c r="AM5" s="54">
        <f>'Production &amp; FA'!AH8</f>
        <v>0.51721030816363311</v>
      </c>
    </row>
    <row r="6" spans="1:39" x14ac:dyDescent="0.25">
      <c r="A6" t="e" vm="2">
        <f>'Production &amp; FA'!B9</f>
        <v>#VALUE!</v>
      </c>
      <c r="B6" t="s">
        <v>96</v>
      </c>
      <c r="C6">
        <f>'Production &amp; FA'!C9</f>
        <v>171.48</v>
      </c>
      <c r="D6" s="50">
        <f>'Production &amp; FA'!D9</f>
        <v>31893.98</v>
      </c>
      <c r="E6" s="50">
        <f>'Production &amp; FA'!E9</f>
        <v>185992418.94098437</v>
      </c>
      <c r="F6" s="51">
        <f t="shared" si="0"/>
        <v>2.4900000000000002</v>
      </c>
      <c r="G6" s="17">
        <f t="shared" si="1"/>
        <v>1.4735E-2</v>
      </c>
      <c r="H6" s="52">
        <f t="shared" si="2"/>
        <v>864675</v>
      </c>
      <c r="I6" s="51">
        <f t="shared" si="3"/>
        <v>171.48</v>
      </c>
      <c r="J6" s="51">
        <f t="shared" si="4"/>
        <v>93.24</v>
      </c>
      <c r="K6" s="90">
        <f>'Production &amp; FA'!F9</f>
        <v>447902</v>
      </c>
      <c r="L6" s="90">
        <f>'Production &amp; FA'!G9</f>
        <v>516438</v>
      </c>
      <c r="M6" s="34">
        <f>'Production &amp; FA'!H9</f>
        <v>565000</v>
      </c>
      <c r="N6" s="34">
        <f>'Production &amp; FA'!I9</f>
        <v>565000</v>
      </c>
      <c r="O6" s="34">
        <f>'Production &amp; FA'!J9</f>
        <v>0</v>
      </c>
      <c r="P6" s="90">
        <f>'Production &amp; FA'!K9</f>
        <v>239</v>
      </c>
      <c r="Q6" s="90">
        <f>'Production &amp; FA'!L9</f>
        <v>287</v>
      </c>
      <c r="R6" s="90">
        <f>'Production &amp; FA'!M9</f>
        <v>344.64016736401675</v>
      </c>
      <c r="S6" s="34">
        <f>'Production &amp; FA'!N9</f>
        <v>0</v>
      </c>
      <c r="T6" s="34">
        <f>'Production &amp; FA'!O9</f>
        <v>1221.2698326359832</v>
      </c>
      <c r="U6" s="53">
        <f>'Production &amp; FA'!P9</f>
        <v>0.63172759892659636</v>
      </c>
      <c r="V6" s="34">
        <f>'Production &amp; FA'!Q9</f>
        <v>690017455.43933058</v>
      </c>
      <c r="W6" s="54">
        <f>'Production &amp; FA'!R9</f>
        <v>3.7099224762396039</v>
      </c>
      <c r="X6" s="90">
        <f>'Production &amp; FA'!S9</f>
        <v>0</v>
      </c>
      <c r="Y6" s="34">
        <f>'Production &amp; FA'!T9</f>
        <v>0</v>
      </c>
      <c r="Z6" s="34">
        <f>'Production &amp; FA'!U9</f>
        <v>0</v>
      </c>
      <c r="AA6" s="34">
        <f>'Production &amp; FA'!V9</f>
        <v>690017455.43933058</v>
      </c>
      <c r="AB6" s="54">
        <f>'Production &amp; FA'!W9</f>
        <v>46.221990108486843</v>
      </c>
      <c r="AC6" s="89">
        <f>'Production &amp; FA'!X9</f>
        <v>96.84</v>
      </c>
      <c r="AD6" s="54">
        <f>'Production &amp; FA'!Y9</f>
        <v>1.83</v>
      </c>
      <c r="AE6" s="34">
        <f>'Production &amp; FA'!Z9</f>
        <v>93.704918032786878</v>
      </c>
      <c r="AF6" s="53">
        <f>'Production &amp; FA'!AA9</f>
        <v>0.25051851851851853</v>
      </c>
      <c r="AG6" s="53">
        <f>'Production &amp; FA'!AB9</f>
        <v>6.7400000000000002E-2</v>
      </c>
      <c r="AH6" s="53">
        <f>'Production &amp; FA'!AC9</f>
        <v>7.0999999999999994E-2</v>
      </c>
      <c r="AI6" s="53">
        <f>'Production &amp; FA'!AD9</f>
        <v>0.40770000000000001</v>
      </c>
      <c r="AJ6" s="54">
        <f>'Production &amp; FA'!AE9</f>
        <v>5.2641509433962268</v>
      </c>
      <c r="AK6" s="54">
        <f>'Production &amp; FA'!AF9</f>
        <v>2.4905660377358489</v>
      </c>
      <c r="AL6" s="54">
        <f>'Production &amp; FA'!AG9</f>
        <v>4.3065981825365467E-2</v>
      </c>
      <c r="AM6" s="54">
        <f>'Production &amp; FA'!AH9</f>
        <v>4.1280060594584361E-2</v>
      </c>
    </row>
    <row r="7" spans="1:39" x14ac:dyDescent="0.25">
      <c r="A7" t="e" vm="5">
        <f>'Production &amp; FA'!B12</f>
        <v>#VALUE!</v>
      </c>
      <c r="B7" t="s">
        <v>97</v>
      </c>
      <c r="C7">
        <f>'Production &amp; FA'!C12</f>
        <v>9.77</v>
      </c>
      <c r="D7" s="50">
        <f>'Production &amp; FA'!D12</f>
        <v>2859.0729999999999</v>
      </c>
      <c r="E7" s="50">
        <f>'Production &amp; FA'!E12</f>
        <v>292637973.38792223</v>
      </c>
      <c r="F7" s="51">
        <f t="shared" si="0"/>
        <v>0</v>
      </c>
      <c r="G7" s="17">
        <f t="shared" si="1"/>
        <v>0</v>
      </c>
      <c r="H7" s="52">
        <f t="shared" si="2"/>
        <v>1473443</v>
      </c>
      <c r="I7" s="51">
        <f t="shared" si="3"/>
        <v>13</v>
      </c>
      <c r="J7" s="51">
        <f t="shared" si="4"/>
        <v>5.52</v>
      </c>
      <c r="K7" s="90">
        <f>'Production &amp; FA'!F12</f>
        <v>730000</v>
      </c>
      <c r="L7" s="90">
        <f>'Production &amp; FA'!G12</f>
        <v>783000</v>
      </c>
      <c r="M7" s="34">
        <f>'Production &amp; FA'!H12</f>
        <v>805000</v>
      </c>
      <c r="N7" s="34">
        <f>'Production &amp; FA'!I12</f>
        <v>805000</v>
      </c>
      <c r="O7" s="34">
        <f>'Production &amp; FA'!J12</f>
        <v>0</v>
      </c>
      <c r="P7" s="90">
        <f>'Production &amp; FA'!K12</f>
        <v>754</v>
      </c>
      <c r="Q7" s="90">
        <f>'Production &amp; FA'!L12</f>
        <v>713</v>
      </c>
      <c r="R7" s="90">
        <f>'Production &amp; FA'!M12</f>
        <v>845</v>
      </c>
      <c r="S7" s="34">
        <f>'Production &amp; FA'!N12</f>
        <v>0</v>
      </c>
      <c r="T7" s="34">
        <f>'Production &amp; FA'!O12</f>
        <v>720.91000000000008</v>
      </c>
      <c r="U7" s="53">
        <f>'Production &amp; FA'!P12</f>
        <v>0.37290591413299617</v>
      </c>
      <c r="V7" s="34">
        <f>'Production &amp; FA'!Q12</f>
        <v>580332550.00000012</v>
      </c>
      <c r="W7" s="54">
        <f>'Production &amp; FA'!R12</f>
        <v>1.9831074664760224</v>
      </c>
      <c r="X7" s="90">
        <f>'Production &amp; FA'!S12</f>
        <v>11.086</v>
      </c>
      <c r="Y7" s="34">
        <f>'Production &amp; FA'!T12</f>
        <v>85000000</v>
      </c>
      <c r="Z7" s="34">
        <f>'Production &amp; FA'!U12</f>
        <v>9976875</v>
      </c>
      <c r="AA7" s="34">
        <f>'Production &amp; FA'!V12</f>
        <v>590309425.00000012</v>
      </c>
      <c r="AB7" s="54">
        <f>'Production &amp; FA'!W12</f>
        <v>4.9266114747484</v>
      </c>
      <c r="AC7" s="89">
        <f>'Production &amp; FA'!X12</f>
        <v>20.81</v>
      </c>
      <c r="AD7" s="54">
        <f>'Production &amp; FA'!Y12</f>
        <v>-0.32</v>
      </c>
      <c r="AE7" s="34">
        <f>'Production &amp; FA'!Z12</f>
        <v>17.22</v>
      </c>
      <c r="AF7" s="53">
        <f>'Production &amp; FA'!AA12</f>
        <v>8.3333333333333412E-2</v>
      </c>
      <c r="AG7" s="53">
        <f>'Production &amp; FA'!AB12</f>
        <v>-3.3799999999999997E-2</v>
      </c>
      <c r="AH7" s="53">
        <f>'Production &amp; FA'!AC12</f>
        <v>-4.4400000000000002E-2</v>
      </c>
      <c r="AI7" s="53">
        <f>'Production &amp; FA'!AD12</f>
        <v>-6.8000000000000005E-2</v>
      </c>
      <c r="AJ7" s="54">
        <f>'Production &amp; FA'!AE12</f>
        <v>3.8081632653061224</v>
      </c>
      <c r="AK7" s="54">
        <f>'Production &amp; FA'!AF12</f>
        <v>0.17551020408163265</v>
      </c>
      <c r="AL7" s="54">
        <f>'Production &amp; FA'!AG12</f>
        <v>0.30784123910939015</v>
      </c>
      <c r="AM7" s="54">
        <f>'Production &amp; FA'!AH12</f>
        <v>0.23538119911176905</v>
      </c>
    </row>
    <row r="8" spans="1:39" x14ac:dyDescent="0.25">
      <c r="A8" t="e" vm="48">
        <f>'Production &amp; FA'!B13</f>
        <v>#VALUE!</v>
      </c>
      <c r="B8" t="s">
        <v>97</v>
      </c>
      <c r="C8">
        <f>'Production &amp; FA'!C13</f>
        <v>23.44</v>
      </c>
      <c r="D8" s="50">
        <f>'Production &amp; FA'!D13</f>
        <v>8714.4380000000001</v>
      </c>
      <c r="E8" s="50">
        <f>'Production &amp; FA'!E13</f>
        <v>371776365.18771327</v>
      </c>
      <c r="F8" s="51">
        <f t="shared" si="0"/>
        <v>0.73</v>
      </c>
      <c r="G8" s="17">
        <f t="shared" si="1"/>
        <v>3.2143999999999999E-2</v>
      </c>
      <c r="H8" s="52">
        <f t="shared" si="2"/>
        <v>5812515</v>
      </c>
      <c r="I8" s="51">
        <f t="shared" si="3"/>
        <v>23.85</v>
      </c>
      <c r="J8" s="51">
        <f t="shared" si="4"/>
        <v>11.29</v>
      </c>
      <c r="K8" s="90">
        <f>'Production &amp; FA'!F13</f>
        <v>3400000</v>
      </c>
      <c r="L8" s="90">
        <f>'Production &amp; FA'!G13</f>
        <v>3281000</v>
      </c>
      <c r="M8" s="34">
        <f>'Production &amp; FA'!H13</f>
        <v>3175000</v>
      </c>
      <c r="N8" s="34">
        <f>'Production &amp; FA'!I13</f>
        <v>3175000</v>
      </c>
      <c r="O8" s="34">
        <f>'Production &amp; FA'!J13</f>
        <v>0</v>
      </c>
      <c r="P8" s="90">
        <f>'Production &amp; FA'!K13</f>
        <v>976</v>
      </c>
      <c r="Q8" s="90">
        <f>'Production &amp; FA'!L13</f>
        <v>1162</v>
      </c>
      <c r="R8" s="90">
        <f>'Production &amp; FA'!M13</f>
        <v>1070</v>
      </c>
      <c r="S8" s="34">
        <f>'Production &amp; FA'!N13</f>
        <v>0</v>
      </c>
      <c r="T8" s="34">
        <f>'Production &amp; FA'!O13</f>
        <v>495.91000000000008</v>
      </c>
      <c r="U8" s="53">
        <f>'Production &amp; FA'!P13</f>
        <v>0.25651991493764009</v>
      </c>
      <c r="V8" s="34">
        <f>'Production &amp; FA'!Q13</f>
        <v>1574514250.0000002</v>
      </c>
      <c r="W8" s="54">
        <f>'Production &amp; FA'!R13</f>
        <v>4.2351112051058264</v>
      </c>
      <c r="X8" s="90">
        <f>'Production &amp; FA'!S13</f>
        <v>27</v>
      </c>
      <c r="Y8" s="34">
        <f>'Production &amp; FA'!T13</f>
        <v>0</v>
      </c>
      <c r="Z8" s="34">
        <f>'Production &amp; FA'!U13</f>
        <v>0</v>
      </c>
      <c r="AA8" s="34">
        <f>'Production &amp; FA'!V13</f>
        <v>1574514250.0000002</v>
      </c>
      <c r="AB8" s="54">
        <f>'Production &amp; FA'!W13</f>
        <v>5.5346834746017688</v>
      </c>
      <c r="AC8" s="89">
        <f>'Production &amp; FA'!X13</f>
        <v>43.8</v>
      </c>
      <c r="AD8" s="54">
        <f>'Production &amp; FA'!Y13</f>
        <v>-0.03</v>
      </c>
      <c r="AE8" s="34">
        <f>'Production &amp; FA'!Z13</f>
        <v>20.45</v>
      </c>
      <c r="AF8" s="53">
        <f>'Production &amp; FA'!AA13</f>
        <v>4.129793510324474E-2</v>
      </c>
      <c r="AG8" s="53">
        <f>'Production &amp; FA'!AB13</f>
        <v>-1E-3</v>
      </c>
      <c r="AH8" s="53">
        <f>'Production &amp; FA'!AC13</f>
        <v>-2.5999999999999999E-3</v>
      </c>
      <c r="AI8" s="53">
        <f>'Production &amp; FA'!AD13</f>
        <v>-2E-3</v>
      </c>
      <c r="AJ8" s="54">
        <f>'Production &amp; FA'!AE13</f>
        <v>1.3792623521224774</v>
      </c>
      <c r="AK8" s="54">
        <f>'Production &amp; FA'!AF13</f>
        <v>0.31732776617954073</v>
      </c>
      <c r="AL8" s="54">
        <f>'Production &amp; FA'!AG13</f>
        <v>1.5996212121212121</v>
      </c>
      <c r="AM8" s="54">
        <f>'Production &amp; FA'!AH13</f>
        <v>0.61532857351012682</v>
      </c>
    </row>
    <row r="9" spans="1:39" x14ac:dyDescent="0.25">
      <c r="A9" t="e" vm="7">
        <f>'Production &amp; FA'!B14</f>
        <v>#VALUE!</v>
      </c>
      <c r="B9" t="s">
        <v>97</v>
      </c>
      <c r="C9">
        <f>'Production &amp; FA'!C14</f>
        <v>8.5</v>
      </c>
      <c r="D9" s="50">
        <f>'Production &amp; FA'!D14</f>
        <v>10860.91</v>
      </c>
      <c r="E9" s="50">
        <f>'Production &amp; FA'!E14</f>
        <v>1277754117.6470587</v>
      </c>
      <c r="F9" s="51">
        <f t="shared" si="0"/>
        <v>-0.17</v>
      </c>
      <c r="G9" s="17">
        <f t="shared" si="1"/>
        <v>-1.9608E-2</v>
      </c>
      <c r="H9" s="52">
        <f t="shared" si="2"/>
        <v>9603543</v>
      </c>
      <c r="I9" s="51">
        <f t="shared" si="3"/>
        <v>8.8000000000000007</v>
      </c>
      <c r="J9" s="51">
        <f t="shared" si="4"/>
        <v>4</v>
      </c>
      <c r="K9" s="90">
        <f>'Production &amp; FA'!F14</f>
        <v>2452398</v>
      </c>
      <c r="L9" s="90">
        <f>'Production &amp; FA'!G14</f>
        <v>2507659</v>
      </c>
      <c r="M9" s="34">
        <f>'Production &amp; FA'!H14</f>
        <v>2400000</v>
      </c>
      <c r="N9" s="34">
        <f>'Production &amp; FA'!I14</f>
        <v>2400000</v>
      </c>
      <c r="O9" s="34">
        <f>'Production &amp; FA'!J14</f>
        <v>0</v>
      </c>
      <c r="P9" s="90">
        <f>'Production &amp; FA'!K14</f>
        <v>965</v>
      </c>
      <c r="Q9" s="90">
        <f>'Production &amp; FA'!L14</f>
        <v>983</v>
      </c>
      <c r="R9" s="90">
        <f>'Production &amp; FA'!M14</f>
        <v>970</v>
      </c>
      <c r="S9" s="34">
        <f>'Production &amp; FA'!N14</f>
        <v>0</v>
      </c>
      <c r="T9" s="34">
        <f>'Production &amp; FA'!O14</f>
        <v>595.91000000000008</v>
      </c>
      <c r="U9" s="53">
        <f>'Production &amp; FA'!P14</f>
        <v>0.30824702569113166</v>
      </c>
      <c r="V9" s="34">
        <f>'Production &amp; FA'!Q14</f>
        <v>1430184000.0000002</v>
      </c>
      <c r="W9" s="54">
        <f>'Production &amp; FA'!R14</f>
        <v>1.1192951603502841</v>
      </c>
      <c r="X9" s="90">
        <f>'Production &amp; FA'!S14</f>
        <v>24.3</v>
      </c>
      <c r="Y9" s="34">
        <f>'Production &amp; FA'!T14</f>
        <v>0</v>
      </c>
      <c r="Z9" s="34">
        <f>'Production &amp; FA'!U14</f>
        <v>0</v>
      </c>
      <c r="AA9" s="34">
        <f>'Production &amp; FA'!V14</f>
        <v>1430184000.0000002</v>
      </c>
      <c r="AB9" s="54">
        <f>'Production &amp; FA'!W14</f>
        <v>7.5940648196315976</v>
      </c>
      <c r="AC9" s="89">
        <f>'Production &amp; FA'!X14</f>
        <v>34.49</v>
      </c>
      <c r="AD9" s="54">
        <f>'Production &amp; FA'!Y14</f>
        <v>0.56999999999999995</v>
      </c>
      <c r="AE9" s="34">
        <f>'Production &amp; FA'!Z14</f>
        <v>14.912280701754387</v>
      </c>
      <c r="AF9" s="53">
        <f>'Production &amp; FA'!AA14</f>
        <v>0.20000000000000018</v>
      </c>
      <c r="AG9" s="53">
        <f>'Production &amp; FA'!AB14</f>
        <v>8.3900000000000002E-2</v>
      </c>
      <c r="AH9" s="53">
        <f>'Production &amp; FA'!AC14</f>
        <v>0.14630000000000001</v>
      </c>
      <c r="AI9" s="53">
        <f>'Production &amp; FA'!AD14</f>
        <v>0.20549999999999999</v>
      </c>
      <c r="AJ9" s="54">
        <f>'Production &amp; FA'!AE14</f>
        <v>2.9626623376623376</v>
      </c>
      <c r="AK9" s="54">
        <f>'Production &amp; FA'!AF14</f>
        <v>0.93344155844155841</v>
      </c>
      <c r="AL9" s="54">
        <f>'Production &amp; FA'!AG14</f>
        <v>0.70652378266591465</v>
      </c>
      <c r="AM9" s="54">
        <f>'Production &amp; FA'!AH14</f>
        <v>0.41405905685323929</v>
      </c>
    </row>
    <row r="10" spans="1:39" x14ac:dyDescent="0.25">
      <c r="A10" t="e" vm="39">
        <f>'Production &amp; FA'!B15</f>
        <v>#VALUE!</v>
      </c>
      <c r="B10" t="s">
        <v>97</v>
      </c>
      <c r="C10">
        <f>'Production &amp; FA'!C15</f>
        <v>6.43</v>
      </c>
      <c r="D10" s="50">
        <f>'Production &amp; FA'!D15</f>
        <v>6529.8580000000002</v>
      </c>
      <c r="E10" s="50">
        <f>'Production &amp; FA'!E15</f>
        <v>1015530015.5520996</v>
      </c>
      <c r="F10" s="51">
        <f t="shared" si="0"/>
        <v>7.0000000000000007E-2</v>
      </c>
      <c r="G10" s="17">
        <f t="shared" si="1"/>
        <v>1.1006E-2</v>
      </c>
      <c r="H10" s="52">
        <f t="shared" si="2"/>
        <v>13219914</v>
      </c>
      <c r="I10" s="51">
        <f t="shared" si="3"/>
        <v>6.51</v>
      </c>
      <c r="J10" s="51">
        <f t="shared" si="4"/>
        <v>3.12</v>
      </c>
      <c r="K10" s="90">
        <f>'Production &amp; FA'!F15</f>
        <v>953504</v>
      </c>
      <c r="L10" s="90">
        <f>'Production &amp; FA'!G15</f>
        <v>980219</v>
      </c>
      <c r="M10" s="34">
        <f>'Production &amp; FA'!H15</f>
        <v>1027500</v>
      </c>
      <c r="N10" s="34">
        <f>'Production &amp; FA'!I15</f>
        <v>1027500</v>
      </c>
      <c r="O10" s="34">
        <f>'Production &amp; FA'!J15</f>
        <v>0</v>
      </c>
      <c r="P10" s="90">
        <f>'Production &amp; FA'!K15</f>
        <v>758</v>
      </c>
      <c r="Q10" s="90">
        <f>'Production &amp; FA'!L15</f>
        <v>862</v>
      </c>
      <c r="R10" s="90">
        <f>'Production &amp; FA'!M15</f>
        <v>800</v>
      </c>
      <c r="S10" s="34">
        <f>'Production &amp; FA'!N15</f>
        <v>0</v>
      </c>
      <c r="T10" s="34">
        <f>'Production &amp; FA'!O15</f>
        <v>765.91000000000008</v>
      </c>
      <c r="U10" s="53">
        <f>'Production &amp; FA'!P15</f>
        <v>0.3961831139720674</v>
      </c>
      <c r="V10" s="34">
        <f>'Production &amp; FA'!Q15</f>
        <v>786972525.00000012</v>
      </c>
      <c r="W10" s="54">
        <f>'Production &amp; FA'!R15</f>
        <v>0.77493773000117316</v>
      </c>
      <c r="X10" s="90">
        <f>'Production &amp; FA'!S15</f>
        <v>5.82</v>
      </c>
      <c r="Y10" s="34">
        <f>'Production &amp; FA'!T15</f>
        <v>0</v>
      </c>
      <c r="Z10" s="34">
        <f>'Production &amp; FA'!U15</f>
        <v>0</v>
      </c>
      <c r="AA10" s="34">
        <f>'Production &amp; FA'!V15</f>
        <v>786972525.00000012</v>
      </c>
      <c r="AB10" s="54">
        <f>'Production &amp; FA'!W15</f>
        <v>8.2974408795275281</v>
      </c>
      <c r="AC10" s="89">
        <f>'Production &amp; FA'!X15</f>
        <v>398.85</v>
      </c>
      <c r="AD10" s="54">
        <f>'Production &amp; FA'!Y15</f>
        <v>0.28999999999999998</v>
      </c>
      <c r="AE10" s="34">
        <f>'Production &amp; FA'!Z15</f>
        <v>22.172413793103448</v>
      </c>
      <c r="AF10" s="53">
        <f>'Production &amp; FA'!AA15</f>
        <v>0.81249999999999989</v>
      </c>
      <c r="AG10" s="53">
        <f>'Production &amp; FA'!AB15</f>
        <v>0.112</v>
      </c>
      <c r="AH10" s="53">
        <f>'Production &amp; FA'!AC15</f>
        <v>0.16289999999999999</v>
      </c>
      <c r="AI10" s="53">
        <f>'Production &amp; FA'!AD15</f>
        <v>0.25390000000000001</v>
      </c>
      <c r="AJ10" s="54">
        <f>'Production &amp; FA'!AE15</f>
        <v>2.4666666666666668</v>
      </c>
      <c r="AK10" s="54">
        <f>'Production &amp; FA'!AF15</f>
        <v>0.8545454545454545</v>
      </c>
      <c r="AL10" s="54">
        <f>'Production &amp; FA'!AG15</f>
        <v>0.34824120603015074</v>
      </c>
      <c r="AM10" s="54">
        <f>'Production &amp; FA'!AH15</f>
        <v>0.25829295564666416</v>
      </c>
    </row>
    <row r="11" spans="1:39" x14ac:dyDescent="0.25">
      <c r="A11" t="e" vm="52">
        <f>'Production &amp; FA'!B16</f>
        <v>#VALUE!</v>
      </c>
      <c r="B11" t="s">
        <v>97</v>
      </c>
      <c r="C11">
        <f>'Production &amp; FA'!C16</f>
        <v>5.92</v>
      </c>
      <c r="D11" s="50">
        <f>'Production &amp; FA'!D16</f>
        <v>5471.223</v>
      </c>
      <c r="E11" s="50">
        <f>'Production &amp; FA'!E16</f>
        <v>924193074.32432437</v>
      </c>
      <c r="F11" s="51">
        <f t="shared" si="0"/>
        <v>0.15</v>
      </c>
      <c r="G11" s="17">
        <f t="shared" si="1"/>
        <v>2.5996999999999999E-2</v>
      </c>
      <c r="H11" s="52">
        <f t="shared" si="2"/>
        <v>11375278</v>
      </c>
      <c r="I11" s="51">
        <f t="shared" si="3"/>
        <v>6.56</v>
      </c>
      <c r="J11" s="51">
        <f t="shared" si="4"/>
        <v>2.41</v>
      </c>
      <c r="K11" s="90">
        <f>'Production &amp; FA'!F16</f>
        <v>1133635</v>
      </c>
      <c r="L11" s="90">
        <f>'Production &amp; FA'!G16</f>
        <v>1024454</v>
      </c>
      <c r="M11" s="34">
        <f>'Production &amp; FA'!H16</f>
        <v>990000</v>
      </c>
      <c r="N11" s="34">
        <f>'Production &amp; FA'!I16</f>
        <v>990000</v>
      </c>
      <c r="O11" s="34">
        <f>'Production &amp; FA'!J16</f>
        <v>0</v>
      </c>
      <c r="P11" s="90">
        <f>'Production &amp; FA'!K16</f>
        <v>971</v>
      </c>
      <c r="Q11" s="90">
        <f>'Production &amp; FA'!L16</f>
        <v>978</v>
      </c>
      <c r="R11" s="90">
        <f>'Production &amp; FA'!M16</f>
        <v>999</v>
      </c>
      <c r="S11" s="34">
        <f>'Production &amp; FA'!N16</f>
        <v>0</v>
      </c>
      <c r="T11" s="34">
        <f>'Production &amp; FA'!O16</f>
        <v>566.91000000000008</v>
      </c>
      <c r="U11" s="53">
        <f>'Production &amp; FA'!P16</f>
        <v>0.29324616357261918</v>
      </c>
      <c r="V11" s="34">
        <f>'Production &amp; FA'!Q16</f>
        <v>561240900.00000012</v>
      </c>
      <c r="W11" s="54">
        <f>'Production &amp; FA'!R16</f>
        <v>0.60727667799320195</v>
      </c>
      <c r="X11" s="90">
        <f>'Production &amp; FA'!S16</f>
        <v>7.8</v>
      </c>
      <c r="Y11" s="34">
        <f>'Production &amp; FA'!T16</f>
        <v>0</v>
      </c>
      <c r="Z11" s="34">
        <f>'Production &amp; FA'!U16</f>
        <v>0</v>
      </c>
      <c r="AA11" s="34">
        <f>'Production &amp; FA'!V16</f>
        <v>561240900.00000012</v>
      </c>
      <c r="AB11" s="54">
        <f>'Production &amp; FA'!W16</f>
        <v>9.7484395738086782</v>
      </c>
      <c r="AC11" s="89">
        <f>'Production &amp; FA'!X16</f>
        <v>24.59</v>
      </c>
      <c r="AD11" s="54">
        <f>'Production &amp; FA'!Y16</f>
        <v>0.24</v>
      </c>
      <c r="AE11" s="34">
        <f>'Production &amp; FA'!Z16</f>
        <v>24.666666666666668</v>
      </c>
      <c r="AF11" s="53">
        <f>'Production &amp; FA'!AA16</f>
        <v>-0.10555555555555553</v>
      </c>
      <c r="AG11" s="53">
        <f>'Production &amp; FA'!AB16</f>
        <v>2.98E-2</v>
      </c>
      <c r="AH11" s="53">
        <f>'Production &amp; FA'!AC16</f>
        <v>5.5199999999999999E-2</v>
      </c>
      <c r="AI11" s="53">
        <f>'Production &amp; FA'!AD16</f>
        <v>0.1399</v>
      </c>
      <c r="AJ11" s="54">
        <f>'Production &amp; FA'!AE16</f>
        <v>0.98432908912830563</v>
      </c>
      <c r="AK11" s="54">
        <f>'Production &amp; FA'!AF16</f>
        <v>0.38883447600391779</v>
      </c>
      <c r="AL11" s="54">
        <f>'Production &amp; FA'!AG16</f>
        <v>0.6865802507168417</v>
      </c>
      <c r="AM11" s="54">
        <f>'Production &amp; FA'!AH16</f>
        <v>0.40708424661383696</v>
      </c>
    </row>
    <row r="12" spans="1:39" x14ac:dyDescent="0.25">
      <c r="A12" t="e" vm="55">
        <f>'Production &amp; FA'!B17</f>
        <v>#VALUE!</v>
      </c>
      <c r="B12" t="s">
        <v>97</v>
      </c>
      <c r="C12">
        <f>'Production &amp; FA'!C17</f>
        <v>10.94</v>
      </c>
      <c r="D12" s="50">
        <f>'Production &amp; FA'!D17</f>
        <v>2039.2380000000001</v>
      </c>
      <c r="E12" s="50">
        <f>'Production &amp; FA'!E17</f>
        <v>186402010.96892139</v>
      </c>
      <c r="F12" s="51">
        <f t="shared" si="0"/>
        <v>-0.06</v>
      </c>
      <c r="G12" s="17">
        <f t="shared" si="1"/>
        <v>-5.4549999999999998E-3</v>
      </c>
      <c r="H12" s="52">
        <f t="shared" si="2"/>
        <v>1029446</v>
      </c>
      <c r="I12" s="51">
        <f t="shared" si="3"/>
        <v>18.295000000000002</v>
      </c>
      <c r="J12" s="51">
        <f t="shared" si="4"/>
        <v>6.25</v>
      </c>
      <c r="K12" s="90">
        <f>'Production &amp; FA'!F17</f>
        <v>367428</v>
      </c>
      <c r="L12" s="90">
        <f>'Production &amp; FA'!G17</f>
        <v>351348</v>
      </c>
      <c r="M12" s="34">
        <f>'Production &amp; FA'!H17</f>
        <v>345000</v>
      </c>
      <c r="N12" s="34">
        <f>'Production &amp; FA'!I17</f>
        <v>345000</v>
      </c>
      <c r="O12" s="34">
        <f>'Production &amp; FA'!J17</f>
        <v>0</v>
      </c>
      <c r="P12" s="90">
        <f>'Production &amp; FA'!K17</f>
        <v>745</v>
      </c>
      <c r="Q12" s="90">
        <f>'Production &amp; FA'!L17</f>
        <v>888</v>
      </c>
      <c r="R12" s="90">
        <f>'Production &amp; FA'!M17</f>
        <v>985</v>
      </c>
      <c r="S12" s="34">
        <f>'Production &amp; FA'!N17</f>
        <v>0</v>
      </c>
      <c r="T12" s="34">
        <f>'Production &amp; FA'!O17</f>
        <v>580.91000000000008</v>
      </c>
      <c r="U12" s="53">
        <f>'Production &amp; FA'!P17</f>
        <v>0.30048795907810799</v>
      </c>
      <c r="V12" s="34">
        <f>'Production &amp; FA'!Q17</f>
        <v>200413950.00000003</v>
      </c>
      <c r="W12" s="54">
        <f>'Production &amp; FA'!R17</f>
        <v>1.0751705357589454</v>
      </c>
      <c r="X12" s="90">
        <f>'Production &amp; FA'!S17</f>
        <v>3.6</v>
      </c>
      <c r="Y12" s="34">
        <f>'Production &amp; FA'!T17</f>
        <v>0</v>
      </c>
      <c r="Z12" s="34">
        <f>'Production &amp; FA'!U17</f>
        <v>0</v>
      </c>
      <c r="AA12" s="34">
        <f>'Production &amp; FA'!V17</f>
        <v>200413950.00000003</v>
      </c>
      <c r="AB12" s="54">
        <f>'Production &amp; FA'!W17</f>
        <v>10.175130024631518</v>
      </c>
      <c r="AC12" s="89">
        <f>'Production &amp; FA'!X17</f>
        <v>92.18</v>
      </c>
      <c r="AD12" s="54">
        <f>'Production &amp; FA'!Y17</f>
        <v>0.22</v>
      </c>
      <c r="AE12" s="34">
        <f>'Production &amp; FA'!Z17</f>
        <v>49.727272727272727</v>
      </c>
      <c r="AF12" s="53">
        <f>'Production &amp; FA'!AA17</f>
        <v>1.7247191011235956</v>
      </c>
      <c r="AG12" s="53">
        <f>'Production &amp; FA'!AB17</f>
        <v>2.5700000000000001E-2</v>
      </c>
      <c r="AH12" s="53">
        <f>'Production &amp; FA'!AC17</f>
        <v>4.41E-2</v>
      </c>
      <c r="AI12" s="53">
        <f>'Production &amp; FA'!AD17</f>
        <v>8.4400000000000003E-2</v>
      </c>
      <c r="AJ12" s="54">
        <f>'Production &amp; FA'!AE17</f>
        <v>0.48837209302325579</v>
      </c>
      <c r="AK12" s="54">
        <f>'Production &amp; FA'!AF17</f>
        <v>0.17829457364341086</v>
      </c>
      <c r="AL12" s="54">
        <f>'Production &amp; FA'!AG17</f>
        <v>0.64884696016771493</v>
      </c>
      <c r="AM12" s="54">
        <f>'Production &amp; FA'!AH17</f>
        <v>0.39351557533375714</v>
      </c>
    </row>
    <row r="13" spans="1:39" x14ac:dyDescent="0.25">
      <c r="A13" t="e" vm="6">
        <f>'Production &amp; FA'!B18</f>
        <v>#VALUE!</v>
      </c>
      <c r="B13" t="s">
        <v>97</v>
      </c>
      <c r="C13">
        <f>'Production &amp; FA'!C18</f>
        <v>6.79</v>
      </c>
      <c r="D13" s="50">
        <f>'Production &amp; FA'!D18</f>
        <v>3750.355</v>
      </c>
      <c r="E13" s="50">
        <f>'Production &amp; FA'!E18</f>
        <v>552335051.54639173</v>
      </c>
      <c r="F13" s="51">
        <f t="shared" si="0"/>
        <v>-0.14000000000000001</v>
      </c>
      <c r="G13" s="17">
        <f t="shared" si="1"/>
        <v>-2.0202000000000001E-2</v>
      </c>
      <c r="H13" s="52">
        <f t="shared" si="2"/>
        <v>5215829</v>
      </c>
      <c r="I13" s="51">
        <f t="shared" si="3"/>
        <v>7.7750000000000004</v>
      </c>
      <c r="J13" s="51">
        <f t="shared" si="4"/>
        <v>3.34</v>
      </c>
      <c r="K13" s="90">
        <f>'Production &amp; FA'!F18</f>
        <v>505000</v>
      </c>
      <c r="L13" s="90">
        <f>'Production &amp; FA'!G18</f>
        <v>495500</v>
      </c>
      <c r="M13" s="34">
        <f>'Production &amp; FA'!H18</f>
        <v>445000</v>
      </c>
      <c r="N13" s="34">
        <f>'Production &amp; FA'!I18</f>
        <v>445000</v>
      </c>
      <c r="O13" s="34">
        <f>'Production &amp; FA'!J18</f>
        <v>0</v>
      </c>
      <c r="P13" s="90">
        <f>'Production &amp; FA'!K18</f>
        <v>989</v>
      </c>
      <c r="Q13" s="90">
        <f>'Production &amp; FA'!L18</f>
        <v>951</v>
      </c>
      <c r="R13" s="90">
        <f>'Production &amp; FA'!M18</f>
        <v>1040</v>
      </c>
      <c r="S13" s="34">
        <f>'Production &amp; FA'!N18</f>
        <v>0</v>
      </c>
      <c r="T13" s="34">
        <f>'Production &amp; FA'!O18</f>
        <v>525.91000000000008</v>
      </c>
      <c r="U13" s="53">
        <f>'Production &amp; FA'!P18</f>
        <v>0.2720380481636876</v>
      </c>
      <c r="V13" s="34">
        <f>'Production &amp; FA'!Q18</f>
        <v>234029950.00000003</v>
      </c>
      <c r="W13" s="54">
        <f>'Production &amp; FA'!R18</f>
        <v>0.42371011824213983</v>
      </c>
      <c r="X13" s="90">
        <f>'Production &amp; FA'!S18</f>
        <v>9.7260000000000009</v>
      </c>
      <c r="Y13" s="34">
        <f>'Production &amp; FA'!T18</f>
        <v>0</v>
      </c>
      <c r="Z13" s="34">
        <f>'Production &amp; FA'!U18</f>
        <v>0</v>
      </c>
      <c r="AA13" s="34">
        <f>'Production &amp; FA'!V18</f>
        <v>234029950.00000003</v>
      </c>
      <c r="AB13" s="54">
        <f>'Production &amp; FA'!W18</f>
        <v>16.025107042923349</v>
      </c>
      <c r="AC13" s="89">
        <f>'Production &amp; FA'!X18</f>
        <v>31.32</v>
      </c>
      <c r="AD13" s="54">
        <f>'Production &amp; FA'!Y18</f>
        <v>0.25</v>
      </c>
      <c r="AE13" s="34">
        <f>'Production &amp; FA'!Z18</f>
        <v>27.16</v>
      </c>
      <c r="AF13" s="53">
        <f>'Production &amp; FA'!AA18</f>
        <v>0.25847457627118658</v>
      </c>
      <c r="AG13" s="53">
        <f>'Production &amp; FA'!AB18</f>
        <v>2.8899999999999999E-2</v>
      </c>
      <c r="AH13" s="53">
        <f>'Production &amp; FA'!AC18</f>
        <v>3.6299999999999999E-2</v>
      </c>
      <c r="AI13" s="53">
        <f>'Production &amp; FA'!AD18</f>
        <v>0.14069999999999999</v>
      </c>
      <c r="AJ13" s="54">
        <f>'Production &amp; FA'!AE18</f>
        <v>3.1023622047244093</v>
      </c>
      <c r="AK13" s="54">
        <f>'Production &amp; FA'!AF18</f>
        <v>1.4409448818897639</v>
      </c>
      <c r="AL13" s="54">
        <f>'Production &amp; FA'!AG18</f>
        <v>0.26011131725417441</v>
      </c>
      <c r="AM13" s="54">
        <f>'Production &amp; FA'!AH18</f>
        <v>0.20635855166323228</v>
      </c>
    </row>
    <row r="14" spans="1:39" x14ac:dyDescent="0.25">
      <c r="A14" t="e" vm="1">
        <f>'Production &amp; FA'!B21</f>
        <v>#VALUE!</v>
      </c>
      <c r="B14" t="s">
        <v>98</v>
      </c>
      <c r="C14">
        <f>'Production &amp; FA'!C21</f>
        <v>2.61</v>
      </c>
      <c r="D14" s="50">
        <f>'Production &amp; FA'!D21</f>
        <v>1583.9780000000001</v>
      </c>
      <c r="E14" s="50">
        <f>'Production &amp; FA'!E21</f>
        <v>606888122.60536397</v>
      </c>
      <c r="F14" s="51">
        <f t="shared" si="0"/>
        <v>0.01</v>
      </c>
      <c r="G14" s="17">
        <f t="shared" si="1"/>
        <v>3.846E-3</v>
      </c>
      <c r="H14" s="52">
        <f t="shared" si="2"/>
        <v>218150</v>
      </c>
      <c r="I14" s="51">
        <f t="shared" si="3"/>
        <v>2.66</v>
      </c>
      <c r="J14" s="51">
        <f t="shared" si="4"/>
        <v>1.39</v>
      </c>
      <c r="K14" s="90">
        <f>'Production &amp; FA'!F21</f>
        <v>472418</v>
      </c>
      <c r="L14" s="90">
        <f>'Production &amp; FA'!G21</f>
        <v>480529</v>
      </c>
      <c r="M14" s="34">
        <f>'Production &amp; FA'!H21</f>
        <v>525000</v>
      </c>
      <c r="N14" s="34">
        <f>'Production &amp; FA'!I21</f>
        <v>525000</v>
      </c>
      <c r="O14" s="34">
        <f>'Production &amp; FA'!J21</f>
        <v>0</v>
      </c>
      <c r="P14" s="90">
        <f>'Production &amp; FA'!K21</f>
        <v>884</v>
      </c>
      <c r="Q14" s="90">
        <f>'Production &amp; FA'!L21</f>
        <v>943</v>
      </c>
      <c r="R14" s="90">
        <f>'Production &amp; FA'!M21</f>
        <v>895</v>
      </c>
      <c r="S14" s="34">
        <f>'Production &amp; FA'!N21</f>
        <v>0</v>
      </c>
      <c r="T14" s="34">
        <f>'Production &amp; FA'!O21</f>
        <v>670.91000000000008</v>
      </c>
      <c r="U14" s="53">
        <f>'Production &amp; FA'!P21</f>
        <v>0.34704235875625039</v>
      </c>
      <c r="V14" s="34">
        <f>'Production &amp; FA'!Q21</f>
        <v>352227750.00000006</v>
      </c>
      <c r="W14" s="54">
        <f>'Production &amp; FA'!R21</f>
        <v>0.58038333076595772</v>
      </c>
      <c r="X14" s="90">
        <f>'Production &amp; FA'!S21</f>
        <v>7.25</v>
      </c>
      <c r="Y14" s="34">
        <f>'Production &amp; FA'!T21</f>
        <v>0</v>
      </c>
      <c r="Z14" s="34">
        <f>'Production &amp; FA'!U21</f>
        <v>0</v>
      </c>
      <c r="AA14" s="34">
        <f>'Production &amp; FA'!V21</f>
        <v>352227750.00000006</v>
      </c>
      <c r="AB14" s="54">
        <f>'Production &amp; FA'!W21</f>
        <v>4.4970278463295399</v>
      </c>
      <c r="AC14" s="89">
        <f>'Production &amp; FA'!X21</f>
        <v>35.33</v>
      </c>
      <c r="AD14" s="54">
        <f>'Production &amp; FA'!Y21</f>
        <v>7.0000000000000007E-2</v>
      </c>
      <c r="AE14" s="34">
        <f>'Production &amp; FA'!Z21</f>
        <v>37.285714285714278</v>
      </c>
      <c r="AF14" s="53">
        <f>'Production &amp; FA'!AA21</f>
        <v>-5.1048167706833139E-2</v>
      </c>
      <c r="AG14" s="53">
        <f>'Production &amp; FA'!AB21</f>
        <v>0.04</v>
      </c>
      <c r="AH14" s="53">
        <f>'Production &amp; FA'!AC21</f>
        <v>4.19E-2</v>
      </c>
      <c r="AI14" s="53">
        <f>'Production &amp; FA'!AD21</f>
        <v>8.9800000000000005E-2</v>
      </c>
      <c r="AJ14" s="54">
        <f>'Production &amp; FA'!AE21</f>
        <v>8.9361702127659566</v>
      </c>
      <c r="AK14" s="54">
        <f>'Production &amp; FA'!AF21</f>
        <v>6.0212765957446805</v>
      </c>
      <c r="AL14" s="54">
        <f>'Production &amp; FA'!AG21</f>
        <v>4.73970473970474E-2</v>
      </c>
      <c r="AM14" s="54">
        <f>'Production &amp; FA'!AH21</f>
        <v>4.5252225519287835E-2</v>
      </c>
    </row>
    <row r="15" spans="1:39" x14ac:dyDescent="0.25">
      <c r="A15" t="e" vm="41">
        <f>'Production &amp; FA'!B22</f>
        <v>#VALUE!</v>
      </c>
      <c r="B15" t="s">
        <v>98</v>
      </c>
      <c r="C15">
        <f>'Production &amp; FA'!C22</f>
        <v>11.96</v>
      </c>
      <c r="D15" s="50">
        <f>'Production &amp; FA'!D22</f>
        <v>1990.627</v>
      </c>
      <c r="E15" s="50">
        <f>'Production &amp; FA'!E22</f>
        <v>166440384.61538461</v>
      </c>
      <c r="F15" s="51">
        <f t="shared" si="0"/>
        <v>-0.15</v>
      </c>
      <c r="G15" s="17">
        <f t="shared" si="1"/>
        <v>-1.2385999999999999E-2</v>
      </c>
      <c r="H15" s="52">
        <f t="shared" si="2"/>
        <v>2025737</v>
      </c>
      <c r="I15" s="51">
        <f t="shared" si="3"/>
        <v>14.99</v>
      </c>
      <c r="J15" s="51">
        <f t="shared" si="4"/>
        <v>4.0999999999999996</v>
      </c>
      <c r="K15" s="90">
        <f>'Production &amp; FA'!F22</f>
        <v>313797</v>
      </c>
      <c r="L15" s="90">
        <f>'Production &amp; FA'!G22</f>
        <v>395331</v>
      </c>
      <c r="M15" s="34">
        <f>'Production &amp; FA'!H22</f>
        <v>535000</v>
      </c>
      <c r="N15" s="34">
        <f>'Production &amp; FA'!I22</f>
        <v>535000</v>
      </c>
      <c r="O15" s="34">
        <f>'Production &amp; FA'!J22</f>
        <v>0</v>
      </c>
      <c r="P15" s="90">
        <f>'Production &amp; FA'!K22</f>
        <v>994</v>
      </c>
      <c r="Q15" s="90">
        <f>'Production &amp; FA'!L22</f>
        <v>1034</v>
      </c>
      <c r="R15" s="90">
        <f>'Production &amp; FA'!M22</f>
        <v>900</v>
      </c>
      <c r="S15" s="34">
        <f>'Production &amp; FA'!N22</f>
        <v>0</v>
      </c>
      <c r="T15" s="34">
        <f>'Production &amp; FA'!O22</f>
        <v>665.91000000000008</v>
      </c>
      <c r="U15" s="53">
        <f>'Production &amp; FA'!P22</f>
        <v>0.34445600321857583</v>
      </c>
      <c r="V15" s="34">
        <f>'Production &amp; FA'!Q22</f>
        <v>356261850.00000006</v>
      </c>
      <c r="W15" s="54">
        <f>'Production &amp; FA'!R22</f>
        <v>2.1404772094420506</v>
      </c>
      <c r="X15" s="90">
        <f>'Production &amp; FA'!S22</f>
        <v>16.359000000000002</v>
      </c>
      <c r="Y15" s="34">
        <f>'Production &amp; FA'!T22</f>
        <v>0</v>
      </c>
      <c r="Z15" s="34">
        <f>'Production &amp; FA'!U22</f>
        <v>0</v>
      </c>
      <c r="AA15" s="34">
        <f>'Production &amp; FA'!V22</f>
        <v>356261850.00000006</v>
      </c>
      <c r="AB15" s="54">
        <f>'Production &amp; FA'!W22</f>
        <v>5.5875390530869353</v>
      </c>
      <c r="AC15" s="89">
        <f>'Production &amp; FA'!X22</f>
        <v>20.450980392156861</v>
      </c>
      <c r="AD15" s="54">
        <f>'Production &amp; FA'!Y22</f>
        <v>0.51</v>
      </c>
      <c r="AE15" s="34">
        <f>'Production &amp; FA'!Z22</f>
        <v>23.450980392156865</v>
      </c>
      <c r="AF15" s="53">
        <f>'Production &amp; FA'!AA22</f>
        <v>0.58056265984654731</v>
      </c>
      <c r="AG15" s="53">
        <f>'Production &amp; FA'!AB22</f>
        <v>1.7399999999999999E-2</v>
      </c>
      <c r="AH15" s="53">
        <f>'Production &amp; FA'!AC22</f>
        <v>2.41E-2</v>
      </c>
      <c r="AI15" s="53">
        <f>'Production &amp; FA'!AD22</f>
        <v>0.13039999999999999</v>
      </c>
      <c r="AJ15" s="54">
        <f>'Production &amp; FA'!AE22</f>
        <v>1.9639639639639639</v>
      </c>
      <c r="AK15" s="54">
        <f>'Production &amp; FA'!AF22</f>
        <v>0.80180180180180183</v>
      </c>
      <c r="AL15" s="54">
        <f>'Production &amp; FA'!AG22</f>
        <v>0.36134699853587116</v>
      </c>
      <c r="AM15" s="54">
        <f>'Production &amp; FA'!AH22</f>
        <v>0.26543342654334268</v>
      </c>
    </row>
    <row r="16" spans="1:39" x14ac:dyDescent="0.25">
      <c r="A16" t="e" vm="3">
        <f>'Production &amp; FA'!B23</f>
        <v>#VALUE!</v>
      </c>
      <c r="B16" t="s">
        <v>98</v>
      </c>
      <c r="C16">
        <f>'Production &amp; FA'!C23</f>
        <v>4.29</v>
      </c>
      <c r="D16" s="50">
        <f>'Production &amp; FA'!D23</f>
        <v>2010.328</v>
      </c>
      <c r="E16" s="50">
        <f>'Production &amp; FA'!E23</f>
        <v>468607925.40792543</v>
      </c>
      <c r="F16" s="51">
        <f t="shared" si="0"/>
        <v>0</v>
      </c>
      <c r="G16" s="17">
        <f t="shared" si="1"/>
        <v>0</v>
      </c>
      <c r="H16" s="52">
        <f t="shared" si="2"/>
        <v>4095836</v>
      </c>
      <c r="I16" s="51">
        <f t="shared" si="3"/>
        <v>5.55</v>
      </c>
      <c r="J16" s="51">
        <f t="shared" si="4"/>
        <v>2</v>
      </c>
      <c r="K16" s="90">
        <f>'Production &amp; FA'!F23</f>
        <v>882000</v>
      </c>
      <c r="L16" s="90">
        <f>'Production &amp; FA'!G23</f>
        <v>762000</v>
      </c>
      <c r="M16" s="34">
        <f>'Production &amp; FA'!H23</f>
        <v>730000</v>
      </c>
      <c r="N16" s="34">
        <f>'Production &amp; FA'!I23</f>
        <v>730000</v>
      </c>
      <c r="O16" s="34">
        <f>'Production &amp; FA'!J23</f>
        <v>0</v>
      </c>
      <c r="P16" s="90">
        <f>'Production &amp; FA'!K23</f>
        <v>1068</v>
      </c>
      <c r="Q16" s="90">
        <f>'Production &amp; FA'!L23</f>
        <v>1141</v>
      </c>
      <c r="R16" s="90">
        <f>'Production &amp; FA'!M23</f>
        <v>1125</v>
      </c>
      <c r="S16" s="34">
        <f>'Production &amp; FA'!N23</f>
        <v>0</v>
      </c>
      <c r="T16" s="34">
        <f>'Production &amp; FA'!O23</f>
        <v>440.91000000000008</v>
      </c>
      <c r="U16" s="53">
        <f>'Production &amp; FA'!P23</f>
        <v>0.22807000402321975</v>
      </c>
      <c r="V16" s="34">
        <f>'Production &amp; FA'!Q23</f>
        <v>321864300.00000006</v>
      </c>
      <c r="W16" s="54">
        <f>'Production &amp; FA'!R23</f>
        <v>0.68685201967042209</v>
      </c>
      <c r="X16" s="90">
        <f>'Production &amp; FA'!S23</f>
        <v>16.706</v>
      </c>
      <c r="Y16" s="34">
        <f>'Production &amp; FA'!T23</f>
        <v>0</v>
      </c>
      <c r="Z16" s="34">
        <f>'Production &amp; FA'!U23</f>
        <v>0</v>
      </c>
      <c r="AA16" s="34">
        <f>'Production &amp; FA'!V23</f>
        <v>321864300.00000006</v>
      </c>
      <c r="AB16" s="54">
        <f>'Production &amp; FA'!W23</f>
        <v>6.2458868535590915</v>
      </c>
      <c r="AC16" s="89">
        <f>'Production &amp; FA'!X23</f>
        <v>-5.5113636363636358</v>
      </c>
      <c r="AD16" s="54">
        <f>'Production &amp; FA'!Y23</f>
        <v>-0.88</v>
      </c>
      <c r="AE16" s="34">
        <f>'Production &amp; FA'!Z23</f>
        <v>-4.875</v>
      </c>
      <c r="AF16" s="53">
        <f>'Production &amp; FA'!AA23</f>
        <v>-1.8348623853211024E-2</v>
      </c>
      <c r="AG16" s="53">
        <f>'Production &amp; FA'!AB23</f>
        <v>-0.1055</v>
      </c>
      <c r="AH16" s="53">
        <f>'Production &amp; FA'!AC23</f>
        <v>-0.16250000000000001</v>
      </c>
      <c r="AI16" s="53">
        <f>'Production &amp; FA'!AD23</f>
        <v>-0.38729999999999998</v>
      </c>
      <c r="AJ16" s="54">
        <f>'Production &amp; FA'!AE23</f>
        <v>4.7481203007518795</v>
      </c>
      <c r="AK16" s="54">
        <f>'Production &amp; FA'!AF23</f>
        <v>3.1240601503759398</v>
      </c>
      <c r="AL16" s="54">
        <f>'Production &amp; FA'!AG23</f>
        <v>0.64620630861040074</v>
      </c>
      <c r="AM16" s="54">
        <f>'Production &amp; FA'!AH23</f>
        <v>0.3925427239772139</v>
      </c>
    </row>
    <row r="17" spans="1:39" x14ac:dyDescent="0.25">
      <c r="A17" t="e" vm="50">
        <f>'Production &amp; FA'!B24</f>
        <v>#VALUE!</v>
      </c>
      <c r="B17" t="s">
        <v>98</v>
      </c>
      <c r="C17">
        <f>'Production &amp; FA'!C24</f>
        <v>10.210000000000001</v>
      </c>
      <c r="D17" s="50">
        <f>'Production &amp; FA'!D24</f>
        <v>2138.19</v>
      </c>
      <c r="E17" s="50">
        <f>'Production &amp; FA'!E24</f>
        <v>209421155.72967678</v>
      </c>
      <c r="F17" s="51">
        <f t="shared" si="0"/>
        <v>0.68</v>
      </c>
      <c r="G17" s="17">
        <f t="shared" si="1"/>
        <v>7.1354000000000001E-2</v>
      </c>
      <c r="H17" s="52">
        <f t="shared" si="2"/>
        <v>683381</v>
      </c>
      <c r="I17" s="51">
        <f t="shared" si="3"/>
        <v>13.49</v>
      </c>
      <c r="J17" s="51">
        <f t="shared" si="4"/>
        <v>5.0199999999999996</v>
      </c>
      <c r="K17" s="90">
        <f>'Production &amp; FA'!F24</f>
        <v>0</v>
      </c>
      <c r="L17" s="90">
        <f>'Production &amp; FA'!G24</f>
        <v>28678</v>
      </c>
      <c r="M17" s="34">
        <f>'Production &amp; FA'!H24</f>
        <v>280000</v>
      </c>
      <c r="N17" s="34">
        <f>'Production &amp; FA'!I24</f>
        <v>280000</v>
      </c>
      <c r="O17" s="34">
        <f>'Production &amp; FA'!J24</f>
        <v>0</v>
      </c>
      <c r="P17" s="90">
        <f>'Production &amp; FA'!K24</f>
        <v>0</v>
      </c>
      <c r="Q17" s="90">
        <f>'Production &amp; FA'!L24</f>
        <v>621</v>
      </c>
      <c r="R17" s="90">
        <f>'Production &amp; FA'!M24</f>
        <v>621</v>
      </c>
      <c r="S17" s="34">
        <f>'Production &amp; FA'!N24</f>
        <v>0</v>
      </c>
      <c r="T17" s="34">
        <f>'Production &amp; FA'!O24</f>
        <v>944.91000000000008</v>
      </c>
      <c r="U17" s="53">
        <f>'Production &amp; FA'!P24</f>
        <v>0.48877464222081735</v>
      </c>
      <c r="V17" s="34">
        <f>'Production &amp; FA'!Q24</f>
        <v>264574800.00000003</v>
      </c>
      <c r="W17" s="54">
        <f>'Production &amp; FA'!R24</f>
        <v>1.2633623335624993</v>
      </c>
      <c r="X17" s="90">
        <f>'Production &amp; FA'!S24</f>
        <v>4.8159999999999998</v>
      </c>
      <c r="Y17" s="34">
        <f>'Production &amp; FA'!T24</f>
        <v>0</v>
      </c>
      <c r="Z17" s="34">
        <f>'Production &amp; FA'!U24</f>
        <v>0</v>
      </c>
      <c r="AA17" s="34">
        <f>'Production &amp; FA'!V24</f>
        <v>264574800.00000003</v>
      </c>
      <c r="AB17" s="54">
        <f>'Production &amp; FA'!W24</f>
        <v>8.0816086792846473</v>
      </c>
      <c r="AC17" s="89">
        <f>'Production &amp; FA'!X24</f>
        <v>0</v>
      </c>
      <c r="AD17" s="54">
        <f>'Production &amp; FA'!Y24</f>
        <v>0</v>
      </c>
      <c r="AE17" s="34">
        <f>'Production &amp; FA'!Z24</f>
        <v>0</v>
      </c>
      <c r="AF17" s="53">
        <f>'Production &amp; FA'!AA24</f>
        <v>0</v>
      </c>
      <c r="AG17" s="53">
        <f>'Production &amp; FA'!AB24</f>
        <v>0</v>
      </c>
      <c r="AH17" s="53">
        <f>'Production &amp; FA'!AC24</f>
        <v>0</v>
      </c>
      <c r="AI17" s="53">
        <f>'Production &amp; FA'!AD24</f>
        <v>0</v>
      </c>
      <c r="AJ17" s="54">
        <f>'Production &amp; FA'!AE24</f>
        <v>1.2844827586206897</v>
      </c>
      <c r="AK17" s="54">
        <f>'Production &amp; FA'!AF24</f>
        <v>0.65517241379310343</v>
      </c>
      <c r="AL17" s="54">
        <f>'Production &amp; FA'!AG24</f>
        <v>2.0171306209850108</v>
      </c>
      <c r="AM17" s="54">
        <f>'Production &amp; FA'!AH24</f>
        <v>0.66855926188786374</v>
      </c>
    </row>
    <row r="18" spans="1:39" x14ac:dyDescent="0.25">
      <c r="A18" t="e" vm="4">
        <f>'Production &amp; FA'!B25</f>
        <v>#VALUE!</v>
      </c>
      <c r="B18" t="s">
        <v>98</v>
      </c>
      <c r="C18">
        <f>'Production &amp; FA'!C25</f>
        <v>21.53</v>
      </c>
      <c r="D18" s="50">
        <f>'Production &amp; FA'!D25</f>
        <v>1932.4259999999999</v>
      </c>
      <c r="E18" s="50">
        <f>'Production &amp; FA'!E25</f>
        <v>89755039.479795635</v>
      </c>
      <c r="F18" s="51">
        <f t="shared" si="0"/>
        <v>-0.42</v>
      </c>
      <c r="G18" s="17">
        <f t="shared" si="1"/>
        <v>-1.9133999999999998E-2</v>
      </c>
      <c r="H18" s="52">
        <f t="shared" si="2"/>
        <v>680140</v>
      </c>
      <c r="I18" s="51">
        <f t="shared" si="3"/>
        <v>25.57</v>
      </c>
      <c r="J18" s="51">
        <f t="shared" si="4"/>
        <v>12.12</v>
      </c>
      <c r="K18" s="90">
        <f>'Production &amp; FA'!F25</f>
        <v>347090</v>
      </c>
      <c r="L18" s="90">
        <f>'Production &amp; FA'!G25</f>
        <v>421828</v>
      </c>
      <c r="M18" s="34">
        <f>'Production &amp; FA'!H25</f>
        <v>425000</v>
      </c>
      <c r="N18" s="34">
        <f>'Production &amp; FA'!I25</f>
        <v>425000</v>
      </c>
      <c r="O18" s="34">
        <f>'Production &amp; FA'!J25</f>
        <v>0</v>
      </c>
      <c r="P18" s="90">
        <f>'Production &amp; FA'!K25</f>
        <v>1088</v>
      </c>
      <c r="Q18" s="90">
        <f>'Production &amp; FA'!L25</f>
        <v>1087</v>
      </c>
      <c r="R18" s="90">
        <f>'Production &amp; FA'!M25</f>
        <v>1087</v>
      </c>
      <c r="S18" s="34">
        <f>'Production &amp; FA'!N25</f>
        <v>0</v>
      </c>
      <c r="T18" s="34">
        <f>'Production &amp; FA'!O25</f>
        <v>478.91000000000008</v>
      </c>
      <c r="U18" s="53">
        <f>'Production &amp; FA'!P25</f>
        <v>0.24772630610954657</v>
      </c>
      <c r="V18" s="34">
        <f>'Production &amp; FA'!Q25</f>
        <v>203536750.00000003</v>
      </c>
      <c r="W18" s="54">
        <f>'Production &amp; FA'!R25</f>
        <v>2.2676916101832623</v>
      </c>
      <c r="X18" s="90">
        <f>'Production &amp; FA'!S25</f>
        <v>5.3760000000000003</v>
      </c>
      <c r="Y18" s="34">
        <f>'Production &amp; FA'!T25</f>
        <v>0</v>
      </c>
      <c r="Z18" s="34">
        <f>'Production &amp; FA'!U25</f>
        <v>0</v>
      </c>
      <c r="AA18" s="34">
        <f>'Production &amp; FA'!V25</f>
        <v>203536750.00000003</v>
      </c>
      <c r="AB18" s="54">
        <f>'Production &amp; FA'!W25</f>
        <v>9.4942362988502058</v>
      </c>
      <c r="AC18" s="89">
        <f>'Production &amp; FA'!X25</f>
        <v>68.319999999999993</v>
      </c>
      <c r="AD18" s="54">
        <f>'Production &amp; FA'!Y25</f>
        <v>0.47</v>
      </c>
      <c r="AE18" s="34">
        <f>'Production &amp; FA'!Z25</f>
        <v>45.808510638297875</v>
      </c>
      <c r="AF18" s="53">
        <f>'Production &amp; FA'!AA25</f>
        <v>0.35225171023018481</v>
      </c>
      <c r="AG18" s="53">
        <f>'Production &amp; FA'!AB25</f>
        <v>3.5000000000000003E-2</v>
      </c>
      <c r="AH18" s="53">
        <f>'Production &amp; FA'!AC25</f>
        <v>5.4399999999999997E-2</v>
      </c>
      <c r="AI18" s="53">
        <f>'Production &amp; FA'!AD25</f>
        <v>9.4399999999999998E-2</v>
      </c>
      <c r="AJ18" s="54">
        <f>'Production &amp; FA'!AE25</f>
        <v>3.8461538461538463</v>
      </c>
      <c r="AK18" s="54">
        <f>'Production &amp; FA'!AF25</f>
        <v>2.1538461538461537</v>
      </c>
      <c r="AL18" s="54">
        <f>'Production &amp; FA'!AG25</f>
        <v>0.54320987654320985</v>
      </c>
      <c r="AM18" s="54">
        <f>'Production &amp; FA'!AH25</f>
        <v>0.35199999999999998</v>
      </c>
    </row>
    <row r="19" spans="1:39" x14ac:dyDescent="0.25">
      <c r="A19" t="e" vm="44">
        <f>'Production &amp; FA'!B26</f>
        <v>#VALUE!</v>
      </c>
      <c r="B19" t="s">
        <v>98</v>
      </c>
      <c r="C19">
        <f>'Production &amp; FA'!C26</f>
        <v>3.55</v>
      </c>
      <c r="D19" s="50">
        <f>'Production &amp; FA'!D26</f>
        <v>1179.777</v>
      </c>
      <c r="E19" s="50">
        <f>'Production &amp; FA'!E26</f>
        <v>332331549.29577464</v>
      </c>
      <c r="F19" s="51">
        <f t="shared" si="0"/>
        <v>0.01</v>
      </c>
      <c r="G19" s="17">
        <f t="shared" si="1"/>
        <v>2.8249999999999998E-3</v>
      </c>
      <c r="H19" s="52">
        <f t="shared" si="2"/>
        <v>3155032</v>
      </c>
      <c r="I19" s="51">
        <f t="shared" si="3"/>
        <v>5.75</v>
      </c>
      <c r="J19" s="51">
        <f t="shared" si="4"/>
        <v>1.57</v>
      </c>
      <c r="K19" s="90">
        <f>'Production &amp; FA'!F26</f>
        <v>244600</v>
      </c>
      <c r="L19" s="90">
        <f>'Production &amp; FA'!G26</f>
        <v>340900</v>
      </c>
      <c r="M19" s="34">
        <f>'Production &amp; FA'!H26</f>
        <v>335000</v>
      </c>
      <c r="N19" s="34">
        <f>'Production &amp; FA'!I26</f>
        <v>335000</v>
      </c>
      <c r="O19" s="34">
        <f>'Production &amp; FA'!J26</f>
        <v>0</v>
      </c>
      <c r="P19" s="90">
        <f>'Production &amp; FA'!K26</f>
        <v>951</v>
      </c>
      <c r="Q19" s="90">
        <f>'Production &amp; FA'!L26</f>
        <v>724</v>
      </c>
      <c r="R19" s="90">
        <f>'Production &amp; FA'!M26</f>
        <v>927.5</v>
      </c>
      <c r="S19" s="34">
        <f>'Production &amp; FA'!N26</f>
        <v>0</v>
      </c>
      <c r="T19" s="34">
        <f>'Production &amp; FA'!O26</f>
        <v>638.41000000000008</v>
      </c>
      <c r="U19" s="53">
        <f>'Production &amp; FA'!P26</f>
        <v>0.33023104776136564</v>
      </c>
      <c r="V19" s="34">
        <f>'Production &amp; FA'!Q26</f>
        <v>213867350.00000003</v>
      </c>
      <c r="W19" s="54">
        <f>'Production &amp; FA'!R26</f>
        <v>0.64353610258548877</v>
      </c>
      <c r="X19" s="90">
        <f>'Production &amp; FA'!S26</f>
        <v>25.341000000000001</v>
      </c>
      <c r="Y19" s="34">
        <f>'Production &amp; FA'!T26</f>
        <v>0</v>
      </c>
      <c r="Z19" s="34">
        <f>'Production &amp; FA'!U26</f>
        <v>0</v>
      </c>
      <c r="AA19" s="34">
        <f>'Production &amp; FA'!V26</f>
        <v>213867350.00000003</v>
      </c>
      <c r="AB19" s="54">
        <f>'Production &amp; FA'!W26</f>
        <v>5.5163960277246602</v>
      </c>
      <c r="AC19" s="89">
        <f>'Production &amp; FA'!X26</f>
        <v>13.78</v>
      </c>
      <c r="AD19" s="54">
        <f>'Production &amp; FA'!Y26</f>
        <v>0.15</v>
      </c>
      <c r="AE19" s="34">
        <f>'Production &amp; FA'!Z26</f>
        <v>23.666666666666668</v>
      </c>
      <c r="AF19" s="53">
        <f>'Production &amp; FA'!AA26</f>
        <v>0.83694351133248379</v>
      </c>
      <c r="AG19" s="53">
        <f>'Production &amp; FA'!AB26</f>
        <v>4.6800000000000001E-2</v>
      </c>
      <c r="AH19" s="53">
        <f>'Production &amp; FA'!AC26</f>
        <v>6.6100000000000006E-2</v>
      </c>
      <c r="AI19" s="53">
        <f>'Production &amp; FA'!AD26</f>
        <v>0.1055</v>
      </c>
      <c r="AJ19" s="54">
        <f>'Production &amp; FA'!AE26</f>
        <v>1.7191780821917808</v>
      </c>
      <c r="AK19" s="54">
        <f>'Production &amp; FA'!AF26</f>
        <v>0.67123287671232879</v>
      </c>
      <c r="AL19" s="54">
        <f>'Production &amp; FA'!AG26</f>
        <v>0.39097744360902253</v>
      </c>
      <c r="AM19" s="54">
        <f>'Production &amp; FA'!AH26</f>
        <v>0.2810810810810811</v>
      </c>
    </row>
    <row r="20" spans="1:39" x14ac:dyDescent="0.25">
      <c r="A20" t="e" vm="47">
        <f>'Production &amp; FA'!B27</f>
        <v>#VALUE!</v>
      </c>
      <c r="B20" t="s">
        <v>98</v>
      </c>
      <c r="C20">
        <f>'Production &amp; FA'!C27</f>
        <v>16.11</v>
      </c>
      <c r="D20" s="50">
        <f>'Production &amp; FA'!D27</f>
        <v>1291.5509999999999</v>
      </c>
      <c r="E20" s="50">
        <f>'Production &amp; FA'!E27</f>
        <v>80170763.500931099</v>
      </c>
      <c r="F20" s="51">
        <f t="shared" si="0"/>
        <v>0.93</v>
      </c>
      <c r="G20" s="17">
        <f t="shared" si="1"/>
        <v>6.1265E-2</v>
      </c>
      <c r="H20" s="52">
        <f t="shared" si="2"/>
        <v>715455</v>
      </c>
      <c r="I20" s="51">
        <f t="shared" si="3"/>
        <v>22.45</v>
      </c>
      <c r="J20" s="51">
        <f t="shared" si="4"/>
        <v>8.7899999999999991</v>
      </c>
      <c r="K20" s="90">
        <f>'Production &amp; FA'!F27</f>
        <v>347640</v>
      </c>
      <c r="L20" s="90">
        <f>'Production &amp; FA'!G27</f>
        <v>454811</v>
      </c>
      <c r="M20" s="34">
        <f>'Production &amp; FA'!H27</f>
        <v>450000</v>
      </c>
      <c r="N20" s="34">
        <f>'Production &amp; FA'!I27</f>
        <v>450000</v>
      </c>
      <c r="O20" s="34">
        <f>'Production &amp; FA'!J27</f>
        <v>0</v>
      </c>
      <c r="P20" s="90">
        <f>'Production &amp; FA'!K27</f>
        <v>964</v>
      </c>
      <c r="Q20" s="90">
        <f>'Production &amp; FA'!L27</f>
        <v>805</v>
      </c>
      <c r="R20" s="90">
        <f>'Production &amp; FA'!M27</f>
        <v>930</v>
      </c>
      <c r="S20" s="34">
        <f>'Production &amp; FA'!N27</f>
        <v>0</v>
      </c>
      <c r="T20" s="34">
        <f>'Production &amp; FA'!O27</f>
        <v>635.91000000000008</v>
      </c>
      <c r="U20" s="53">
        <f>'Production &amp; FA'!P27</f>
        <v>0.32893786999252833</v>
      </c>
      <c r="V20" s="34">
        <f>'Production &amp; FA'!Q27</f>
        <v>286159500.00000006</v>
      </c>
      <c r="W20" s="54">
        <f>'Production &amp; FA'!R27</f>
        <v>3.5693747633659072</v>
      </c>
      <c r="X20" s="90">
        <f>'Production &amp; FA'!S27</f>
        <v>2.2400000000000002</v>
      </c>
      <c r="Y20" s="34">
        <f>'Production &amp; FA'!T27</f>
        <v>0</v>
      </c>
      <c r="Z20" s="34">
        <f>'Production &amp; FA'!U27</f>
        <v>0</v>
      </c>
      <c r="AA20" s="34">
        <f>'Production &amp; FA'!V27</f>
        <v>286159500.00000006</v>
      </c>
      <c r="AB20" s="54">
        <f>'Production &amp; FA'!W27</f>
        <v>4.5133955014598488</v>
      </c>
      <c r="AC20" s="89">
        <f>'Production &amp; FA'!X27</f>
        <v>36.53</v>
      </c>
      <c r="AD20" s="54">
        <f>'Production &amp; FA'!Y27</f>
        <v>0.84</v>
      </c>
      <c r="AE20" s="34">
        <f>'Production &amp; FA'!Z27</f>
        <v>19.178571428571427</v>
      </c>
      <c r="AF20" s="53">
        <f>'Production &amp; FA'!AA27</f>
        <v>1.0349317243569387</v>
      </c>
      <c r="AG20" s="53">
        <f>'Production &amp; FA'!AB27</f>
        <v>5.6899999999999999E-2</v>
      </c>
      <c r="AH20" s="53">
        <f>'Production &amp; FA'!AC27</f>
        <v>8.9300000000000004E-2</v>
      </c>
      <c r="AI20" s="53">
        <f>'Production &amp; FA'!AD27</f>
        <v>0.1111</v>
      </c>
      <c r="AJ20" s="54">
        <f>'Production &amp; FA'!AE27</f>
        <v>1.3950617283950617</v>
      </c>
      <c r="AK20" s="54">
        <f>'Production &amp; FA'!AF27</f>
        <v>0.66666666666666663</v>
      </c>
      <c r="AL20" s="54">
        <f>'Production &amp; FA'!AG27</f>
        <v>0.47305389221556887</v>
      </c>
      <c r="AM20" s="54">
        <f>'Production &amp; FA'!AH27</f>
        <v>0.32113821138211385</v>
      </c>
    </row>
    <row r="21" spans="1:39" x14ac:dyDescent="0.25">
      <c r="A21" t="e" vm="53">
        <f>'Production &amp; FA'!B31</f>
        <v>#VALUE!</v>
      </c>
      <c r="B21" t="s">
        <v>99</v>
      </c>
      <c r="C21">
        <f>'Production &amp; FA'!C31</f>
        <v>5.99</v>
      </c>
      <c r="D21" s="50">
        <f>'Production &amp; FA'!D31</f>
        <v>1104.8869999999999</v>
      </c>
      <c r="E21" s="50">
        <f>'Production &amp; FA'!E31</f>
        <v>184455258.76460767</v>
      </c>
      <c r="F21" s="51">
        <f t="shared" si="0"/>
        <v>-0.13</v>
      </c>
      <c r="G21" s="17">
        <f t="shared" si="1"/>
        <v>-2.1242E-2</v>
      </c>
      <c r="H21" s="52">
        <f t="shared" si="2"/>
        <v>907266</v>
      </c>
      <c r="I21" s="51">
        <f t="shared" si="3"/>
        <v>6.66</v>
      </c>
      <c r="J21" s="51">
        <f t="shared" si="4"/>
        <v>3.2</v>
      </c>
      <c r="K21" s="90">
        <f>'Production &amp; FA'!F31</f>
        <v>201000</v>
      </c>
      <c r="L21" s="90">
        <f>'Production &amp; FA'!G31</f>
        <v>231000</v>
      </c>
      <c r="M21" s="34">
        <f>'Production &amp; FA'!H31</f>
        <v>274000</v>
      </c>
      <c r="N21" s="34">
        <f>'Production &amp; FA'!I31</f>
        <v>274000</v>
      </c>
      <c r="O21" s="34">
        <f>'Production &amp; FA'!J31</f>
        <v>0</v>
      </c>
      <c r="P21" s="90">
        <f>'Production &amp; FA'!K31</f>
        <v>659</v>
      </c>
      <c r="Q21" s="90">
        <f>'Production &amp; FA'!L31</f>
        <v>725</v>
      </c>
      <c r="R21" s="90">
        <f>'Production &amp; FA'!M31</f>
        <v>720</v>
      </c>
      <c r="S21" s="34">
        <f>'Production &amp; FA'!N31</f>
        <v>0</v>
      </c>
      <c r="T21" s="34">
        <f>'Production &amp; FA'!O31</f>
        <v>845.91000000000008</v>
      </c>
      <c r="U21" s="53">
        <f>'Production &amp; FA'!P31</f>
        <v>0.5402034599689638</v>
      </c>
      <c r="V21" s="34">
        <f>'Production &amp; FA'!Q31</f>
        <v>231779340.00000003</v>
      </c>
      <c r="W21" s="54">
        <f>'Production &amp; FA'!R31</f>
        <v>1.2565613013819514</v>
      </c>
      <c r="X21" s="90">
        <f>'Production &amp; FA'!S31</f>
        <v>2.5819999999999999</v>
      </c>
      <c r="Y21" s="34">
        <f>'Production &amp; FA'!T31</f>
        <v>0</v>
      </c>
      <c r="Z21" s="34">
        <f>'Production &amp; FA'!U31</f>
        <v>0</v>
      </c>
      <c r="AA21" s="34">
        <f>'Production &amp; FA'!V31</f>
        <v>231779340.00000003</v>
      </c>
      <c r="AB21" s="54">
        <f>'Production &amp; FA'!W31</f>
        <v>4.7669779368601182</v>
      </c>
      <c r="AC21" s="89">
        <f>'Production &amp; FA'!X31</f>
        <v>38.83</v>
      </c>
      <c r="AD21" s="54">
        <f>'Production &amp; FA'!Y31</f>
        <v>0.21</v>
      </c>
      <c r="AE21" s="34">
        <f>'Production &amp; FA'!Z31</f>
        <v>28.523809523809526</v>
      </c>
      <c r="AF21" s="53">
        <f>'Production &amp; FA'!AA31</f>
        <v>0.34927904397295073</v>
      </c>
      <c r="AG21" s="53">
        <f>'Production &amp; FA'!AB31</f>
        <v>2.29E-2</v>
      </c>
      <c r="AH21" s="53">
        <f>'Production &amp; FA'!AC31</f>
        <v>3.1199999999999999E-2</v>
      </c>
      <c r="AI21" s="53">
        <f>'Production &amp; FA'!AD31</f>
        <v>5.6000000000000001E-2</v>
      </c>
      <c r="AJ21" s="54">
        <f>'Production &amp; FA'!AE31</f>
        <v>0.90322580645161288</v>
      </c>
      <c r="AK21" s="54">
        <f>'Production &amp; FA'!AF31</f>
        <v>0.18279569892473119</v>
      </c>
      <c r="AL21" s="54">
        <f>'Production &amp; FA'!AG31</f>
        <v>0.36075949367088606</v>
      </c>
      <c r="AM21" s="54">
        <f>'Production &amp; FA'!AH31</f>
        <v>0.26511627906976742</v>
      </c>
    </row>
    <row r="22" spans="1:39" x14ac:dyDescent="0.25">
      <c r="A22" t="e" vm="51">
        <f>'Production &amp; FA'!B32</f>
        <v>#VALUE!</v>
      </c>
      <c r="B22" t="s">
        <v>99</v>
      </c>
      <c r="C22">
        <f>'Production &amp; FA'!C32</f>
        <v>10.55</v>
      </c>
      <c r="D22" s="50">
        <f>'Production &amp; FA'!D32</f>
        <v>2256.4760000000001</v>
      </c>
      <c r="E22" s="50">
        <f>'Production &amp; FA'!E32</f>
        <v>213883981.04265401</v>
      </c>
      <c r="F22" s="51">
        <f t="shared" si="0"/>
        <v>0.1</v>
      </c>
      <c r="G22" s="17">
        <f t="shared" si="1"/>
        <v>9.5689999999999994E-3</v>
      </c>
      <c r="H22" s="52">
        <f t="shared" si="2"/>
        <v>2641712</v>
      </c>
      <c r="I22" s="51">
        <f t="shared" si="3"/>
        <v>13.52</v>
      </c>
      <c r="J22" s="51">
        <f t="shared" si="4"/>
        <v>4.9000000000000004</v>
      </c>
      <c r="K22" s="90">
        <f>'Production &amp; FA'!F32</f>
        <v>25601</v>
      </c>
      <c r="L22" s="90">
        <f>'Production &amp; FA'!G32</f>
        <v>194941</v>
      </c>
      <c r="M22" s="34">
        <f>'Production &amp; FA'!H32</f>
        <v>700000</v>
      </c>
      <c r="N22" s="34">
        <f>'Production &amp; FA'!I32</f>
        <v>700000</v>
      </c>
      <c r="O22" s="34">
        <f>'Production &amp; FA'!J32</f>
        <v>0</v>
      </c>
      <c r="P22" s="90">
        <f>'Production &amp; FA'!K32</f>
        <v>886</v>
      </c>
      <c r="Q22" s="90">
        <f>'Production &amp; FA'!L32</f>
        <v>931</v>
      </c>
      <c r="R22" s="90">
        <f>'Production &amp; FA'!M32</f>
        <v>1000</v>
      </c>
      <c r="S22" s="34">
        <f>'Production &amp; FA'!N32</f>
        <v>0</v>
      </c>
      <c r="T22" s="34">
        <f>'Production &amp; FA'!O32</f>
        <v>565.91000000000008</v>
      </c>
      <c r="U22" s="53">
        <f>'Production &amp; FA'!P32</f>
        <v>0.36139369440133856</v>
      </c>
      <c r="V22" s="34">
        <f>'Production &amp; FA'!Q32</f>
        <v>396137000.00000006</v>
      </c>
      <c r="W22" s="54">
        <f>'Production &amp; FA'!R32</f>
        <v>1.852111589044156</v>
      </c>
      <c r="X22" s="90">
        <f>'Production &amp; FA'!S32</f>
        <v>12.7</v>
      </c>
      <c r="Y22" s="34">
        <f>'Production &amp; FA'!T32</f>
        <v>0</v>
      </c>
      <c r="Z22" s="34">
        <f>'Production &amp; FA'!U32</f>
        <v>0</v>
      </c>
      <c r="AA22" s="34">
        <f>'Production &amp; FA'!V32</f>
        <v>396137000.00000006</v>
      </c>
      <c r="AB22" s="54">
        <f>'Production &amp; FA'!W32</f>
        <v>5.6962010617538876</v>
      </c>
      <c r="AC22" s="89">
        <f>'Production &amp; FA'!X32</f>
        <v>-18.163636363636364</v>
      </c>
      <c r="AD22" s="54">
        <f>'Production &amp; FA'!Y32</f>
        <v>-0.55000000000000004</v>
      </c>
      <c r="AE22" s="34">
        <f>'Production &amp; FA'!Z32</f>
        <v>-19.18181818181818</v>
      </c>
      <c r="AF22" s="53">
        <f>'Production &amp; FA'!AA32</f>
        <v>17.779800000000002</v>
      </c>
      <c r="AG22" s="53">
        <f>'Production &amp; FA'!AB32</f>
        <v>-3.0800000000000001E-2</v>
      </c>
      <c r="AH22" s="53">
        <f>'Production &amp; FA'!AC32</f>
        <v>-5.2200000000000003E-2</v>
      </c>
      <c r="AI22" s="53">
        <f>'Production &amp; FA'!AD32</f>
        <v>-0.10199999999999999</v>
      </c>
      <c r="AJ22" s="54">
        <f>'Production &amp; FA'!AE32</f>
        <v>1.1268391410140763</v>
      </c>
      <c r="AK22" s="54">
        <f>'Production &amp; FA'!AF32</f>
        <v>0.5132994246643876</v>
      </c>
      <c r="AL22" s="54">
        <f>'Production &amp; FA'!AG32</f>
        <v>1.0824494676957963</v>
      </c>
      <c r="AM22" s="54">
        <f>'Production &amp; FA'!AH32</f>
        <v>0.51979627092392922</v>
      </c>
    </row>
    <row r="23" spans="1:39" x14ac:dyDescent="0.25">
      <c r="A23" t="e" vm="56">
        <f>'Production &amp; FA'!B33</f>
        <v>#VALUE!</v>
      </c>
      <c r="B23" t="s">
        <v>99</v>
      </c>
      <c r="C23">
        <f>'Production &amp; FA'!C33</f>
        <v>0.115</v>
      </c>
      <c r="D23" s="50">
        <f>'Production &amp; FA'!D33</f>
        <v>97.313829999999996</v>
      </c>
      <c r="E23" s="50">
        <f>'Production &amp; FA'!E33</f>
        <v>846207217.39130425</v>
      </c>
      <c r="F23" s="51">
        <f t="shared" si="0"/>
        <v>0</v>
      </c>
      <c r="G23" s="17">
        <f t="shared" si="1"/>
        <v>0</v>
      </c>
      <c r="H23" s="52">
        <f t="shared" si="2"/>
        <v>559648</v>
      </c>
      <c r="I23" s="51">
        <f t="shared" si="3"/>
        <v>0.35</v>
      </c>
      <c r="J23" s="51">
        <f t="shared" si="4"/>
        <v>7.4999999999999997E-2</v>
      </c>
      <c r="K23" s="90">
        <f>'Production &amp; FA'!F33</f>
        <v>0</v>
      </c>
      <c r="L23" s="90">
        <f>'Production &amp; FA'!G33</f>
        <v>27316</v>
      </c>
      <c r="M23" s="34">
        <f>'Production &amp; FA'!H33</f>
        <v>45000</v>
      </c>
      <c r="N23" s="34">
        <f>'Production &amp; FA'!I33</f>
        <v>45000</v>
      </c>
      <c r="O23" s="34">
        <f>'Production &amp; FA'!J33</f>
        <v>0</v>
      </c>
      <c r="P23" s="90">
        <f>'Production &amp; FA'!K33</f>
        <v>0</v>
      </c>
      <c r="Q23" s="90">
        <f>'Production &amp; FA'!L33</f>
        <v>2300</v>
      </c>
      <c r="R23" s="90">
        <f>'Production &amp; FA'!M33</f>
        <v>1562.5</v>
      </c>
      <c r="S23" s="34">
        <f>'Production &amp; FA'!N33</f>
        <v>0</v>
      </c>
      <c r="T23" s="34">
        <f>'Production &amp; FA'!O33</f>
        <v>3.4100000000000819</v>
      </c>
      <c r="U23" s="53">
        <f>'Production &amp; FA'!P33</f>
        <v>2.1776475020914877E-3</v>
      </c>
      <c r="V23" s="34">
        <f>'Production &amp; FA'!Q33</f>
        <v>153450.0000000037</v>
      </c>
      <c r="W23" s="54">
        <f>'Production &amp; FA'!R33</f>
        <v>1.813385620522841E-4</v>
      </c>
      <c r="X23" s="90">
        <f>'Production &amp; FA'!S33</f>
        <v>0.89</v>
      </c>
      <c r="Y23" s="34">
        <f>'Production &amp; FA'!T33</f>
        <v>0</v>
      </c>
      <c r="Z23" s="34">
        <f>'Production &amp; FA'!U33</f>
        <v>0</v>
      </c>
      <c r="AA23" s="34">
        <f>'Production &amp; FA'!V33</f>
        <v>153450.0000000037</v>
      </c>
      <c r="AB23" s="54">
        <f>'Production &amp; FA'!W33</f>
        <v>634.17289019222972</v>
      </c>
      <c r="AC23" s="89">
        <f>'Production &amp; FA'!X33</f>
        <v>-1.4999999999999998</v>
      </c>
      <c r="AD23" s="54">
        <f>'Production &amp; FA'!Y33</f>
        <v>-0.1</v>
      </c>
      <c r="AE23" s="34">
        <f>'Production &amp; FA'!Z33</f>
        <v>-1.1499999999999999</v>
      </c>
      <c r="AF23" s="53">
        <f>'Production &amp; FA'!AA33</f>
        <v>0</v>
      </c>
      <c r="AG23" s="53">
        <f>'Production &amp; FA'!AB33</f>
        <v>-0.49459999999999998</v>
      </c>
      <c r="AH23" s="53">
        <f>'Production &amp; FA'!AC33</f>
        <v>-88.6327</v>
      </c>
      <c r="AI23" s="53">
        <f>'Production &amp; FA'!AD33</f>
        <v>-1.2377</v>
      </c>
      <c r="AJ23" s="54">
        <f>'Production &amp; FA'!AE33</f>
        <v>0.25641025641025639</v>
      </c>
      <c r="AK23" s="54">
        <f>'Production &amp; FA'!AF33</f>
        <v>5.128205128205128E-2</v>
      </c>
      <c r="AL23" s="54" t="str">
        <f>'Production &amp; FA'!AG33</f>
        <v>N/A</v>
      </c>
      <c r="AM23" s="54">
        <f>'Production &amp; FA'!AH33</f>
        <v>1.1463414634146341</v>
      </c>
    </row>
    <row r="24" spans="1:39" x14ac:dyDescent="0.25">
      <c r="A24" t="e" vm="45">
        <f>'Production &amp; FA'!B34</f>
        <v>#VALUE!</v>
      </c>
      <c r="B24" t="s">
        <v>99</v>
      </c>
      <c r="C24">
        <f>'Production &amp; FA'!C34</f>
        <v>3.85</v>
      </c>
      <c r="D24" s="50">
        <f>'Production &amp; FA'!D34</f>
        <v>857.61599999999999</v>
      </c>
      <c r="E24" s="50">
        <f>'Production &amp; FA'!E34</f>
        <v>222757402.5974026</v>
      </c>
      <c r="F24" s="51">
        <f t="shared" si="0"/>
        <v>-0.19</v>
      </c>
      <c r="G24" s="17">
        <f t="shared" si="1"/>
        <v>-4.7030000000000002E-2</v>
      </c>
      <c r="H24" s="52">
        <f t="shared" si="2"/>
        <v>2298302</v>
      </c>
      <c r="I24" s="51">
        <f t="shared" si="3"/>
        <v>4.4649999999999999</v>
      </c>
      <c r="J24" s="51">
        <f t="shared" si="4"/>
        <v>1.27</v>
      </c>
      <c r="K24" s="90">
        <f>'Production &amp; FA'!F34</f>
        <v>47237</v>
      </c>
      <c r="L24" s="90">
        <f>'Production &amp; FA'!G34</f>
        <v>82256</v>
      </c>
      <c r="M24" s="34">
        <f>'Production &amp; FA'!H34</f>
        <v>115000</v>
      </c>
      <c r="N24" s="34">
        <f>'Production &amp; FA'!I34</f>
        <v>115000</v>
      </c>
      <c r="O24" s="34">
        <f>'Production &amp; FA'!J34</f>
        <v>0</v>
      </c>
      <c r="P24" s="90">
        <f>'Production &amp; FA'!K34</f>
        <v>809</v>
      </c>
      <c r="Q24" s="90">
        <f>'Production &amp; FA'!L34</f>
        <v>680</v>
      </c>
      <c r="R24" s="90">
        <f>'Production &amp; FA'!M34</f>
        <v>750</v>
      </c>
      <c r="S24" s="34">
        <f>'Production &amp; FA'!N34</f>
        <v>0</v>
      </c>
      <c r="T24" s="34">
        <f>'Production &amp; FA'!O34</f>
        <v>815.91000000000008</v>
      </c>
      <c r="U24" s="53">
        <f>'Production &amp; FA'!P34</f>
        <v>0.52104527080100393</v>
      </c>
      <c r="V24" s="34">
        <f>'Production &amp; FA'!Q34</f>
        <v>93829650.000000015</v>
      </c>
      <c r="W24" s="54">
        <f>'Production &amp; FA'!R34</f>
        <v>0.42121899836290372</v>
      </c>
      <c r="X24" s="90">
        <f>'Production &amp; FA'!S34</f>
        <v>2.4</v>
      </c>
      <c r="Y24" s="34">
        <f>'Production &amp; FA'!T34</f>
        <v>0</v>
      </c>
      <c r="Z24" s="34">
        <f>'Production &amp; FA'!U34</f>
        <v>0</v>
      </c>
      <c r="AA24" s="34">
        <f>'Production &amp; FA'!V34</f>
        <v>93829650.000000015</v>
      </c>
      <c r="AB24" s="54">
        <f>'Production &amp; FA'!W34</f>
        <v>9.1401385382978617</v>
      </c>
      <c r="AC24" s="89">
        <f>'Production &amp; FA'!X34</f>
        <v>9.19</v>
      </c>
      <c r="AD24" s="54">
        <f>'Production &amp; FA'!Y34</f>
        <v>0.16</v>
      </c>
      <c r="AE24" s="34">
        <f>'Production &amp; FA'!Z34</f>
        <v>24.0625</v>
      </c>
      <c r="AF24" s="53">
        <f>'Production &amp; FA'!AA34</f>
        <v>0.92452830188679247</v>
      </c>
      <c r="AG24" s="53">
        <f>'Production &amp; FA'!AB34</f>
        <v>0.2681</v>
      </c>
      <c r="AH24" s="53">
        <f>'Production &amp; FA'!AC34</f>
        <v>0.33639999999999998</v>
      </c>
      <c r="AI24" s="53">
        <f>'Production &amp; FA'!AD34</f>
        <v>0.32</v>
      </c>
      <c r="AJ24" s="54">
        <f>'Production &amp; FA'!AE34</f>
        <v>1.5666666666666667</v>
      </c>
      <c r="AK24" s="54">
        <f>'Production &amp; FA'!AF34</f>
        <v>1</v>
      </c>
      <c r="AL24" s="54">
        <f>'Production &amp; FA'!AG34</f>
        <v>0.24</v>
      </c>
      <c r="AM24" s="54">
        <f>'Production &amp; FA'!AH34</f>
        <v>0.19354838709677419</v>
      </c>
    </row>
    <row r="25" spans="1:39" x14ac:dyDescent="0.25">
      <c r="A25" t="e" vm="43">
        <f>'Production &amp; FA'!B35</f>
        <v>#VALUE!</v>
      </c>
      <c r="B25" t="s">
        <v>99</v>
      </c>
      <c r="C25">
        <f>'Production &amp; FA'!C35</f>
        <v>1.42</v>
      </c>
      <c r="D25" s="50">
        <f>'Production &amp; FA'!D35</f>
        <v>378.41660000000002</v>
      </c>
      <c r="E25" s="50">
        <f>'Production &amp; FA'!E35</f>
        <v>266490563.38028172</v>
      </c>
      <c r="F25" s="51">
        <f t="shared" si="0"/>
        <v>0.11</v>
      </c>
      <c r="G25" s="17">
        <f t="shared" si="1"/>
        <v>8.3969000000000002E-2</v>
      </c>
      <c r="H25" s="52">
        <f t="shared" si="2"/>
        <v>902717</v>
      </c>
      <c r="I25" s="51">
        <f t="shared" si="3"/>
        <v>2.84</v>
      </c>
      <c r="J25" s="51">
        <f t="shared" si="4"/>
        <v>0.76</v>
      </c>
      <c r="K25" s="90">
        <f>'Production &amp; FA'!F35</f>
        <v>175640</v>
      </c>
      <c r="L25" s="90">
        <f>'Production &amp; FA'!G35</f>
        <v>174420</v>
      </c>
      <c r="M25" s="34">
        <f>'Production &amp; FA'!H35</f>
        <v>172500</v>
      </c>
      <c r="N25" s="34">
        <f>'Production &amp; FA'!I35</f>
        <v>172500</v>
      </c>
      <c r="O25" s="34">
        <f>'Production &amp; FA'!J35</f>
        <v>0</v>
      </c>
      <c r="P25" s="90">
        <f>'Production &amp; FA'!K35</f>
        <v>1061</v>
      </c>
      <c r="Q25" s="90">
        <f>'Production &amp; FA'!L35</f>
        <v>1083</v>
      </c>
      <c r="R25" s="90">
        <f>'Production &amp; FA'!M35</f>
        <v>1100</v>
      </c>
      <c r="S25" s="34">
        <f>'Production &amp; FA'!N35</f>
        <v>0</v>
      </c>
      <c r="T25" s="34">
        <f>'Production &amp; FA'!O35</f>
        <v>465.91000000000008</v>
      </c>
      <c r="U25" s="53">
        <f>'Production &amp; FA'!P35</f>
        <v>0.29753306384147243</v>
      </c>
      <c r="V25" s="34">
        <f>'Production &amp; FA'!Q35</f>
        <v>80369475.000000015</v>
      </c>
      <c r="W25" s="54">
        <f>'Production &amp; FA'!R35</f>
        <v>0.30158469395898596</v>
      </c>
      <c r="X25" s="90">
        <f>'Production &amp; FA'!S35</f>
        <v>0.74</v>
      </c>
      <c r="Y25" s="34">
        <f>'Production &amp; FA'!T35</f>
        <v>0</v>
      </c>
      <c r="Z25" s="34">
        <f>'Production &amp; FA'!U35</f>
        <v>0</v>
      </c>
      <c r="AA25" s="34">
        <f>'Production &amp; FA'!V35</f>
        <v>80369475.000000015</v>
      </c>
      <c r="AB25" s="54">
        <f>'Production &amp; FA'!W35</f>
        <v>4.7084617636235642</v>
      </c>
      <c r="AC25" s="89">
        <f>'Production &amp; FA'!X35</f>
        <v>-9.7647058823529402</v>
      </c>
      <c r="AD25" s="54">
        <f>'Production &amp; FA'!Y35</f>
        <v>-0.17</v>
      </c>
      <c r="AE25" s="34">
        <f>'Production &amp; FA'!Z35</f>
        <v>-8.352941176470587</v>
      </c>
      <c r="AF25" s="53">
        <f>'Production &amp; FA'!AA35</f>
        <v>0.73440047428486732</v>
      </c>
      <c r="AG25" s="53">
        <f>'Production &amp; FA'!AB35</f>
        <v>-9.5699999999999993E-2</v>
      </c>
      <c r="AH25" s="53">
        <f>'Production &amp; FA'!AC35</f>
        <v>-0.12130000000000001</v>
      </c>
      <c r="AI25" s="53">
        <f>'Production &amp; FA'!AD35</f>
        <v>-0.51060000000000005</v>
      </c>
      <c r="AJ25" s="54">
        <f>'Production &amp; FA'!AE35</f>
        <v>1.8775510204081634</v>
      </c>
      <c r="AK25" s="54">
        <f>'Production &amp; FA'!AF35</f>
        <v>0.93877551020408168</v>
      </c>
      <c r="AL25" s="54">
        <f>'Production &amp; FA'!AG35</f>
        <v>0.26452905811623245</v>
      </c>
      <c r="AM25" s="54">
        <f>'Production &amp; FA'!AH35</f>
        <v>0.2091917591125198</v>
      </c>
    </row>
    <row r="26" spans="1:39" x14ac:dyDescent="0.25">
      <c r="A26" t="e" vm="49">
        <f>'Production &amp; FA'!B36</f>
        <v>#VALUE!</v>
      </c>
      <c r="B26" t="s">
        <v>99</v>
      </c>
      <c r="C26">
        <f>'Production &amp; FA'!C36</f>
        <v>1.06</v>
      </c>
      <c r="D26" s="50">
        <f>'Production &amp; FA'!D36</f>
        <v>673.53470000000004</v>
      </c>
      <c r="E26" s="50">
        <f>'Production &amp; FA'!E36</f>
        <v>635410094.33962262</v>
      </c>
      <c r="F26" s="51">
        <f t="shared" si="0"/>
        <v>0.06</v>
      </c>
      <c r="G26" s="17">
        <f t="shared" si="1"/>
        <v>0.06</v>
      </c>
      <c r="H26" s="52">
        <f t="shared" si="2"/>
        <v>5015125</v>
      </c>
      <c r="I26" s="51">
        <f t="shared" si="3"/>
        <v>2.0299999999999998</v>
      </c>
      <c r="J26" s="51">
        <f t="shared" si="4"/>
        <v>0.55000000000000004</v>
      </c>
      <c r="K26" s="90">
        <f>'Production &amp; FA'!F36</f>
        <v>522603</v>
      </c>
      <c r="L26" s="90">
        <f>'Production &amp; FA'!G36</f>
        <v>486141</v>
      </c>
      <c r="M26" s="34">
        <f>'Production &amp; FA'!H36</f>
        <v>326500</v>
      </c>
      <c r="N26" s="34">
        <f>'Production &amp; FA'!I36</f>
        <v>326500</v>
      </c>
      <c r="O26" s="34">
        <f>'Production &amp; FA'!J36</f>
        <v>0</v>
      </c>
      <c r="P26" s="90">
        <f>'Production &amp; FA'!K36</f>
        <v>1099</v>
      </c>
      <c r="Q26" s="90">
        <f>'Production &amp; FA'!L36</f>
        <v>1310</v>
      </c>
      <c r="R26" s="90">
        <f>'Production &amp; FA'!M36</f>
        <v>1300</v>
      </c>
      <c r="S26" s="34">
        <f>'Production &amp; FA'!N36</f>
        <v>0</v>
      </c>
      <c r="T26" s="34">
        <f>'Production &amp; FA'!O36</f>
        <v>265.91000000000008</v>
      </c>
      <c r="U26" s="53">
        <f>'Production &amp; FA'!P36</f>
        <v>0.16981180272174012</v>
      </c>
      <c r="V26" s="34">
        <f>'Production &amp; FA'!Q36</f>
        <v>86819615.00000003</v>
      </c>
      <c r="W26" s="54">
        <f>'Production &amp; FA'!R36</f>
        <v>0.13663556146401964</v>
      </c>
      <c r="X26" s="90">
        <f>'Production &amp; FA'!S36</f>
        <v>11.811</v>
      </c>
      <c r="Y26" s="34">
        <f>'Production &amp; FA'!T36</f>
        <v>0</v>
      </c>
      <c r="Z26" s="34">
        <f>'Production &amp; FA'!U36</f>
        <v>0</v>
      </c>
      <c r="AA26" s="34">
        <f>'Production &amp; FA'!V36</f>
        <v>86819615.00000003</v>
      </c>
      <c r="AB26" s="54">
        <f>'Production &amp; FA'!W36</f>
        <v>7.7578632432313803</v>
      </c>
      <c r="AC26" s="89">
        <f>'Production &amp; FA'!X36</f>
        <v>-9.5833333333333321</v>
      </c>
      <c r="AD26" s="54">
        <f>'Production &amp; FA'!Y36</f>
        <v>-0.12</v>
      </c>
      <c r="AE26" s="34">
        <f>'Production &amp; FA'!Z36</f>
        <v>-8.8333333333333339</v>
      </c>
      <c r="AF26" s="53">
        <f>'Production &amp; FA'!AA36</f>
        <v>0.62233084641111402</v>
      </c>
      <c r="AG26" s="53">
        <f>'Production &amp; FA'!AB36</f>
        <v>-3.4000000000000002E-2</v>
      </c>
      <c r="AH26" s="53">
        <f>'Production &amp; FA'!AC36</f>
        <v>-7.6499999999999999E-2</v>
      </c>
      <c r="AI26" s="53">
        <f>'Production &amp; FA'!AD36</f>
        <v>-0.1166</v>
      </c>
      <c r="AJ26" s="54">
        <f>'Production &amp; FA'!AE36</f>
        <v>1.3313953488372092</v>
      </c>
      <c r="AK26" s="54">
        <f>'Production &amp; FA'!AF36</f>
        <v>0.48255813953488375</v>
      </c>
      <c r="AL26" s="54">
        <f>'Production &amp; FA'!AG36</f>
        <v>1.2455775234131112</v>
      </c>
      <c r="AM26" s="54">
        <f>'Production &amp; FA'!AH36</f>
        <v>0.55442334414080596</v>
      </c>
    </row>
    <row r="27" spans="1:39" x14ac:dyDescent="0.25">
      <c r="A27" t="e" vm="54">
        <f>'Production &amp; FA'!B37</f>
        <v>#VALUE!</v>
      </c>
      <c r="B27" t="s">
        <v>99</v>
      </c>
      <c r="C27">
        <f>'Production &amp; FA'!C37</f>
        <v>9.65</v>
      </c>
      <c r="D27" s="50">
        <f>'Production &amp; FA'!D37</f>
        <v>1587.5340000000001</v>
      </c>
      <c r="E27" s="50">
        <f>'Production &amp; FA'!E37</f>
        <v>164511295.33678755</v>
      </c>
      <c r="F27" s="51">
        <f t="shared" si="0"/>
        <v>0.14000000000000001</v>
      </c>
      <c r="G27" s="17">
        <f t="shared" si="1"/>
        <v>1.4721E-2</v>
      </c>
      <c r="H27" s="52">
        <f t="shared" si="2"/>
        <v>1637950</v>
      </c>
      <c r="I27" s="51">
        <f t="shared" si="3"/>
        <v>9.65</v>
      </c>
      <c r="J27" s="51">
        <f t="shared" si="4"/>
        <v>2.97</v>
      </c>
      <c r="K27" s="90">
        <f>'Production &amp; FA'!F37</f>
        <v>245230</v>
      </c>
      <c r="L27" s="90">
        <f>'Production &amp; FA'!G37</f>
        <v>288768</v>
      </c>
      <c r="M27" s="34">
        <f>'Production &amp; FA'!H37</f>
        <v>350000</v>
      </c>
      <c r="N27" s="34">
        <f>'Production &amp; FA'!I37</f>
        <v>350000</v>
      </c>
      <c r="O27" s="34">
        <f>'Production &amp; FA'!J37</f>
        <v>0</v>
      </c>
      <c r="P27" s="90">
        <f>'Production &amp; FA'!K37</f>
        <v>887</v>
      </c>
      <c r="Q27" s="90">
        <f>'Production &amp; FA'!L37</f>
        <v>963</v>
      </c>
      <c r="R27" s="90">
        <f>'Production &amp; FA'!M37</f>
        <v>1037.5</v>
      </c>
      <c r="S27" s="34">
        <f>'Production &amp; FA'!N37</f>
        <v>0</v>
      </c>
      <c r="T27" s="34">
        <f>'Production &amp; FA'!O37</f>
        <v>528.41000000000008</v>
      </c>
      <c r="U27" s="53">
        <f>'Production &amp; FA'!P37</f>
        <v>0.33744595794138876</v>
      </c>
      <c r="V27" s="34">
        <f>'Production &amp; FA'!Q37</f>
        <v>184943500.00000003</v>
      </c>
      <c r="W27" s="54">
        <f>'Production &amp; FA'!R37</f>
        <v>1.1241994029734168</v>
      </c>
      <c r="X27" s="90">
        <f>'Production &amp; FA'!S37</f>
        <v>2.19</v>
      </c>
      <c r="Y27" s="34">
        <f>'Production &amp; FA'!T37</f>
        <v>0</v>
      </c>
      <c r="Z27" s="34">
        <f>'Production &amp; FA'!U37</f>
        <v>0</v>
      </c>
      <c r="AA27" s="34">
        <f>'Production &amp; FA'!V37</f>
        <v>184943500.00000003</v>
      </c>
      <c r="AB27" s="54">
        <f>'Production &amp; FA'!W37</f>
        <v>8.5838864301800264</v>
      </c>
      <c r="AC27" s="89">
        <f>'Production &amp; FA'!X37</f>
        <v>-22.64516129032258</v>
      </c>
      <c r="AD27" s="54">
        <f>'Production &amp; FA'!Y37</f>
        <v>-0.31</v>
      </c>
      <c r="AE27" s="34">
        <f>'Production &amp; FA'!Z37</f>
        <v>-31.129032258064516</v>
      </c>
      <c r="AF27" s="53">
        <f>'Production &amp; FA'!AA37</f>
        <v>0.21191031267142074</v>
      </c>
      <c r="AG27" s="53">
        <f>'Production &amp; FA'!AB37</f>
        <v>-3.1600000000000003E-2</v>
      </c>
      <c r="AH27" s="53">
        <f>'Production &amp; FA'!AC37</f>
        <v>-5.91E-2</v>
      </c>
      <c r="AI27" s="53">
        <f>'Production &amp; FA'!AD37</f>
        <v>-9.4500000000000001E-2</v>
      </c>
      <c r="AJ27" s="54">
        <f>'Production &amp; FA'!AE37</f>
        <v>0.77960526315789469</v>
      </c>
      <c r="AK27" s="54">
        <f>'Production &amp; FA'!AF37</f>
        <v>9.8684210526315791E-2</v>
      </c>
      <c r="AL27" s="54">
        <f>'Production &amp; FA'!AG37</f>
        <v>1.1420765027322404</v>
      </c>
      <c r="AM27" s="54">
        <f>'Production &amp; FA'!AH37</f>
        <v>0.53061224489795922</v>
      </c>
    </row>
    <row r="28" spans="1:39" x14ac:dyDescent="0.25">
      <c r="A28" t="e" vm="58">
        <f>'Production &amp; FA'!B38</f>
        <v>#VALUE!</v>
      </c>
      <c r="B28" t="s">
        <v>99</v>
      </c>
      <c r="C28">
        <f>'Production &amp; FA'!C38</f>
        <v>1.29</v>
      </c>
      <c r="D28" s="50">
        <f>'Production &amp; FA'!D38</f>
        <v>126.8386</v>
      </c>
      <c r="E28" s="50">
        <f>'Production &amp; FA'!E38</f>
        <v>98324496.124031007</v>
      </c>
      <c r="F28" s="51">
        <f t="shared" si="0"/>
        <v>0.19</v>
      </c>
      <c r="G28" s="17">
        <f t="shared" si="1"/>
        <v>0.17272699999999999</v>
      </c>
      <c r="H28" s="52">
        <f t="shared" si="2"/>
        <v>1271742</v>
      </c>
      <c r="I28" s="51">
        <f t="shared" si="3"/>
        <v>6.95</v>
      </c>
      <c r="J28" s="51">
        <f t="shared" si="4"/>
        <v>0.44</v>
      </c>
      <c r="K28" s="90">
        <f>'Production &amp; FA'!F38</f>
        <v>110970</v>
      </c>
      <c r="L28" s="90">
        <f>'Production &amp; FA'!G38</f>
        <v>139510</v>
      </c>
      <c r="M28" s="34">
        <f>'Production &amp; FA'!H38</f>
        <v>113700</v>
      </c>
      <c r="N28" s="34">
        <f>'Production &amp; FA'!I38</f>
        <v>113700</v>
      </c>
      <c r="O28" s="34">
        <f>'Production &amp; FA'!J38</f>
        <v>0</v>
      </c>
      <c r="P28" s="90">
        <f>'Production &amp; FA'!K38</f>
        <v>1291</v>
      </c>
      <c r="Q28" s="90">
        <f>'Production &amp; FA'!L38</f>
        <v>1075</v>
      </c>
      <c r="R28" s="90">
        <f>'Production &amp; FA'!M38</f>
        <v>1100</v>
      </c>
      <c r="S28" s="34">
        <f>'Production &amp; FA'!N38</f>
        <v>0</v>
      </c>
      <c r="T28" s="34">
        <f>'Production &amp; FA'!O38</f>
        <v>465.91000000000008</v>
      </c>
      <c r="U28" s="53">
        <f>'Production &amp; FA'!P38</f>
        <v>0.29753306384147243</v>
      </c>
      <c r="V28" s="34">
        <f>'Production &amp; FA'!Q38</f>
        <v>52973967.000000007</v>
      </c>
      <c r="W28" s="54">
        <f>'Production &amp; FA'!R38</f>
        <v>0.53876672740001863</v>
      </c>
      <c r="X28" s="90">
        <f>'Production &amp; FA'!S38</f>
        <v>5.2</v>
      </c>
      <c r="Y28" s="34">
        <f>'Production &amp; FA'!T38</f>
        <v>0</v>
      </c>
      <c r="Z28" s="34">
        <f>'Production &amp; FA'!U38</f>
        <v>0</v>
      </c>
      <c r="AA28" s="34">
        <f>'Production &amp; FA'!V38</f>
        <v>52973967.000000007</v>
      </c>
      <c r="AB28" s="54">
        <f>'Production &amp; FA'!W38</f>
        <v>2.3943572132326807</v>
      </c>
      <c r="AC28" s="89">
        <f>'Production &amp; FA'!X38</f>
        <v>0</v>
      </c>
      <c r="AD28" s="54">
        <f>'Production &amp; FA'!Y38</f>
        <v>0</v>
      </c>
      <c r="AE28" s="34">
        <f>'Production &amp; FA'!Z38</f>
        <v>0</v>
      </c>
      <c r="AF28" s="53">
        <f>'Production &amp; FA'!AA38</f>
        <v>0</v>
      </c>
      <c r="AG28" s="53">
        <f>'Production &amp; FA'!AB38</f>
        <v>0</v>
      </c>
      <c r="AH28" s="53">
        <f>'Production &amp; FA'!AC38</f>
        <v>0</v>
      </c>
      <c r="AI28" s="53">
        <f>'Production &amp; FA'!AD38</f>
        <v>0</v>
      </c>
      <c r="AJ28" s="54">
        <f>'Production &amp; FA'!AE38</f>
        <v>0</v>
      </c>
      <c r="AK28" s="54">
        <f>'Production &amp; FA'!AF38</f>
        <v>0</v>
      </c>
      <c r="AL28" s="54">
        <f>'Production &amp; FA'!AG38</f>
        <v>0</v>
      </c>
      <c r="AM28" s="54">
        <f>'Production &amp; FA'!AH38</f>
        <v>0</v>
      </c>
    </row>
    <row r="29" spans="1:39" x14ac:dyDescent="0.25">
      <c r="A29" t="e" vm="57">
        <f>'Production &amp; FA'!B39</f>
        <v>#VALUE!</v>
      </c>
      <c r="B29" t="s">
        <v>99</v>
      </c>
      <c r="C29">
        <f>'Production &amp; FA'!C39</f>
        <v>7.97</v>
      </c>
      <c r="D29" s="50">
        <f>'Production &amp; FA'!D39</f>
        <v>469.94389999999999</v>
      </c>
      <c r="E29" s="50">
        <f>'Production &amp; FA'!E39</f>
        <v>58964102.885821834</v>
      </c>
      <c r="F29" s="51">
        <f t="shared" si="0"/>
        <v>-0.08</v>
      </c>
      <c r="G29" s="17">
        <f t="shared" si="1"/>
        <v>-9.9380000000000007E-3</v>
      </c>
      <c r="H29" s="52">
        <f t="shared" si="2"/>
        <v>140550</v>
      </c>
      <c r="I29" s="51">
        <f t="shared" si="3"/>
        <v>9.9</v>
      </c>
      <c r="J29" s="51">
        <f t="shared" si="4"/>
        <v>4.0199999999999996</v>
      </c>
      <c r="K29" s="90">
        <f>'Production &amp; FA'!F39</f>
        <v>0</v>
      </c>
      <c r="L29" s="90">
        <f>'Production &amp; FA'!G39</f>
        <v>0</v>
      </c>
      <c r="M29" s="34">
        <f>'Production &amp; FA'!H39</f>
        <v>210000</v>
      </c>
      <c r="N29" s="34">
        <f>'Production &amp; FA'!I39</f>
        <v>210000</v>
      </c>
      <c r="O29" s="34">
        <f>'Production &amp; FA'!J39</f>
        <v>0</v>
      </c>
      <c r="P29" s="90">
        <f>'Production &amp; FA'!K39</f>
        <v>0</v>
      </c>
      <c r="Q29" s="90">
        <f>'Production &amp; FA'!L39</f>
        <v>0</v>
      </c>
      <c r="R29" s="90">
        <f>'Production &amp; FA'!M39</f>
        <v>800</v>
      </c>
      <c r="S29" s="34">
        <f>'Production &amp; FA'!N39</f>
        <v>0</v>
      </c>
      <c r="T29" s="34">
        <f>'Production &amp; FA'!O39</f>
        <v>765.91000000000008</v>
      </c>
      <c r="U29" s="53">
        <f>'Production &amp; FA'!P39</f>
        <v>0.48911495552107082</v>
      </c>
      <c r="V29" s="34">
        <f>'Production &amp; FA'!Q39</f>
        <v>160841100.00000003</v>
      </c>
      <c r="W29" s="54">
        <f>'Production &amp; FA'!R39</f>
        <v>2.7277799903350171</v>
      </c>
      <c r="X29" s="90">
        <f>'Production &amp; FA'!S39</f>
        <v>4.4000000000000004</v>
      </c>
      <c r="Y29" s="34">
        <f>'Production &amp; FA'!T39</f>
        <v>0</v>
      </c>
      <c r="Z29" s="34">
        <f>'Production &amp; FA'!U39</f>
        <v>0</v>
      </c>
      <c r="AA29" s="34">
        <f>'Production &amp; FA'!V39</f>
        <v>160841100.00000003</v>
      </c>
      <c r="AB29" s="54">
        <f>'Production &amp; FA'!W39</f>
        <v>2.9217898907679687</v>
      </c>
      <c r="AC29" s="89">
        <f>'Production &amp; FA'!X39</f>
        <v>0</v>
      </c>
      <c r="AD29" s="54">
        <f>'Production &amp; FA'!Y39</f>
        <v>0</v>
      </c>
      <c r="AE29" s="34">
        <f>'Production &amp; FA'!Z39</f>
        <v>0</v>
      </c>
      <c r="AF29" s="53">
        <f>'Production &amp; FA'!AA39</f>
        <v>0</v>
      </c>
      <c r="AG29" s="53">
        <f>'Production &amp; FA'!AB39</f>
        <v>0</v>
      </c>
      <c r="AH29" s="53">
        <f>'Production &amp; FA'!AC39</f>
        <v>0</v>
      </c>
      <c r="AI29" s="53">
        <f>'Production &amp; FA'!AD39</f>
        <v>0</v>
      </c>
      <c r="AJ29" s="54">
        <f>'Production &amp; FA'!AE39</f>
        <v>0.20454545454545456</v>
      </c>
      <c r="AK29" s="54">
        <f>'Production &amp; FA'!AF39</f>
        <v>0.13636363636363635</v>
      </c>
      <c r="AL29" s="54">
        <f>'Production &amp; FA'!AG39</f>
        <v>0.33816964285714285</v>
      </c>
      <c r="AM29" s="54">
        <f>'Production &amp; FA'!AH39</f>
        <v>0.25271059216013342</v>
      </c>
    </row>
    <row r="30" spans="1:39" x14ac:dyDescent="0.25">
      <c r="A30" t="e" vm="40">
        <f>'Production &amp; FA'!B40</f>
        <v>#VALUE!</v>
      </c>
      <c r="B30" t="s">
        <v>99</v>
      </c>
      <c r="C30">
        <f>'Production &amp; FA'!C40</f>
        <v>9.51</v>
      </c>
      <c r="D30" s="50">
        <f>'Production &amp; FA'!D40</f>
        <v>1348.1859999999999</v>
      </c>
      <c r="E30" s="50">
        <f>'Production &amp; FA'!E40</f>
        <v>141765089.37960044</v>
      </c>
      <c r="F30" s="51">
        <f t="shared" si="0"/>
        <v>-0.26</v>
      </c>
      <c r="G30" s="17">
        <f t="shared" si="1"/>
        <v>-2.6612E-2</v>
      </c>
      <c r="H30" s="52">
        <f t="shared" si="2"/>
        <v>1027871</v>
      </c>
      <c r="I30" s="51">
        <f t="shared" si="3"/>
        <v>11.06</v>
      </c>
      <c r="J30" s="51">
        <f t="shared" si="4"/>
        <v>3.96</v>
      </c>
      <c r="K30" s="90">
        <f>'Production &amp; FA'!F40</f>
        <v>71625</v>
      </c>
      <c r="L30" s="90">
        <f>'Production &amp; FA'!G40</f>
        <v>91688</v>
      </c>
      <c r="M30" s="34">
        <f>'Production &amp; FA'!H40</f>
        <v>95000</v>
      </c>
      <c r="N30" s="34">
        <f>'Production &amp; FA'!I40</f>
        <v>95000</v>
      </c>
      <c r="O30" s="34">
        <f>'Production &amp; FA'!J40</f>
        <v>0</v>
      </c>
      <c r="P30" s="90">
        <f>'Production &amp; FA'!K40</f>
        <v>1276</v>
      </c>
      <c r="Q30" s="90">
        <f>'Production &amp; FA'!L40</f>
        <v>1293</v>
      </c>
      <c r="R30" s="90">
        <f>'Production &amp; FA'!M40</f>
        <v>1315</v>
      </c>
      <c r="S30" s="34">
        <f>'Production &amp; FA'!N40</f>
        <v>0</v>
      </c>
      <c r="T30" s="34">
        <f>'Production &amp; FA'!O40</f>
        <v>250.91000000000008</v>
      </c>
      <c r="U30" s="53">
        <f>'Production &amp; FA'!P40</f>
        <v>0.16023270813776019</v>
      </c>
      <c r="V30" s="34">
        <f>'Production &amp; FA'!Q40</f>
        <v>23836450.000000007</v>
      </c>
      <c r="W30" s="54">
        <f>'Production &amp; FA'!R40</f>
        <v>0.16814047876183261</v>
      </c>
      <c r="X30" s="90">
        <f>'Production &amp; FA'!S40</f>
        <v>0.5605</v>
      </c>
      <c r="Y30" s="34">
        <f>'Production &amp; FA'!T40</f>
        <v>0</v>
      </c>
      <c r="Z30" s="34">
        <f>'Production &amp; FA'!U40</f>
        <v>0</v>
      </c>
      <c r="AA30" s="34">
        <f>'Production &amp; FA'!V40</f>
        <v>23836450.000000007</v>
      </c>
      <c r="AB30" s="54">
        <f>'Production &amp; FA'!W40</f>
        <v>56.559848467368241</v>
      </c>
      <c r="AC30" s="89">
        <f>'Production &amp; FA'!X40</f>
        <v>44.22</v>
      </c>
      <c r="AD30" s="54">
        <f>'Production &amp; FA'!Y40</f>
        <v>0.3</v>
      </c>
      <c r="AE30" s="34">
        <f>'Production &amp; FA'!Z40</f>
        <v>31.7</v>
      </c>
      <c r="AF30" s="53">
        <f>'Production &amp; FA'!AA40</f>
        <v>0.70695398709140111</v>
      </c>
      <c r="AG30" s="53">
        <f>'Production &amp; FA'!AB40</f>
        <v>0.1653</v>
      </c>
      <c r="AH30" s="53">
        <f>'Production &amp; FA'!AC40</f>
        <v>0.22520000000000001</v>
      </c>
      <c r="AI30" s="53">
        <f>'Production &amp; FA'!AD40</f>
        <v>0.24970000000000001</v>
      </c>
      <c r="AJ30" s="54">
        <f>'Production &amp; FA'!AE40</f>
        <v>2.1785714285714284</v>
      </c>
      <c r="AK30" s="54">
        <f>'Production &amp; FA'!AF40</f>
        <v>1.2857142857142858</v>
      </c>
      <c r="AL30" s="54">
        <f>'Production &amp; FA'!AG40</f>
        <v>0.38164251207729466</v>
      </c>
      <c r="AM30" s="54">
        <f>'Production &amp; FA'!AH40</f>
        <v>0.2762237762237762</v>
      </c>
    </row>
  </sheetData>
  <conditionalFormatting sqref="G2:G30">
    <cfRule type="dataBar" priority="1">
      <dataBar>
        <cfvo type="min"/>
        <cfvo type="max"/>
        <color rgb="FF638EC6"/>
      </dataBar>
      <extLst>
        <ext xmlns:x14="http://schemas.microsoft.com/office/spreadsheetml/2009/9/main" uri="{B025F937-C7B1-47D3-B67F-A62EFF666E3E}">
          <x14:id>{BDAB916E-4431-44BC-BE12-6D5369270AD8}</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BDAB916E-4431-44BC-BE12-6D5369270AD8}">
            <x14:dataBar minLength="0" maxLength="100" border="1" negativeBarBorderColorSameAsPositive="0">
              <x14:cfvo type="autoMin"/>
              <x14:cfvo type="autoMax"/>
              <x14:borderColor rgb="FF638EC6"/>
              <x14:negativeFillColor rgb="FFFF0000"/>
              <x14:negativeBorderColor rgb="FFFF0000"/>
              <x14:axisColor rgb="FF000000"/>
            </x14:dataBar>
          </x14:cfRule>
          <xm:sqref>G2:G30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5A068-4A14-48D2-B307-B65ECEBCBBC8}">
  <sheetPr codeName="Sheet16">
    <tabColor theme="7"/>
  </sheetPr>
  <dimension ref="B1:P41"/>
  <sheetViews>
    <sheetView topLeftCell="A10" workbookViewId="0">
      <selection activeCell="B14" sqref="B14"/>
    </sheetView>
  </sheetViews>
  <sheetFormatPr defaultRowHeight="15" x14ac:dyDescent="0.25"/>
  <cols>
    <col min="1" max="1" width="2.7109375" style="1" customWidth="1"/>
    <col min="2" max="2" width="39.42578125" style="1" bestFit="1" customWidth="1"/>
    <col min="3" max="3" width="11" style="1" customWidth="1"/>
    <col min="4" max="4" width="9.85546875" style="1" bestFit="1" customWidth="1"/>
    <col min="5" max="5" width="13.28515625" style="1" bestFit="1" customWidth="1"/>
    <col min="6" max="6" width="16" style="1" bestFit="1" customWidth="1"/>
    <col min="7" max="7" width="19.140625" style="1" bestFit="1" customWidth="1"/>
    <col min="8" max="8" width="14.85546875" style="1" bestFit="1" customWidth="1"/>
    <col min="9" max="9" width="14.28515625" style="1" bestFit="1" customWidth="1"/>
    <col min="10" max="10" width="26.140625" style="1" bestFit="1" customWidth="1"/>
    <col min="11" max="11" width="10.7109375" style="1" customWidth="1"/>
    <col min="12" max="12" width="18" style="1" bestFit="1" customWidth="1"/>
    <col min="13" max="13" width="12.42578125" style="1" bestFit="1" customWidth="1"/>
    <col min="14" max="15" width="10.7109375" style="1" customWidth="1"/>
    <col min="16" max="16384" width="9.140625" style="1"/>
  </cols>
  <sheetData>
    <row r="1" spans="2:16" x14ac:dyDescent="0.25">
      <c r="B1" s="7" t="s">
        <v>67</v>
      </c>
      <c r="C1" s="7" t="s">
        <v>10</v>
      </c>
      <c r="D1" s="7" t="s">
        <v>51</v>
      </c>
      <c r="E1" s="7" t="s">
        <v>49</v>
      </c>
    </row>
    <row r="2" spans="2:16" x14ac:dyDescent="0.25">
      <c r="B2" s="1" t="e" vm="59">
        <v>#VALUE!</v>
      </c>
      <c r="C2" s="4">
        <f>_FV(B2,"Price")</f>
        <v>1739.9</v>
      </c>
      <c r="D2" s="4" cm="1">
        <f t="array" ref="D2">_FV(Table13[[#This Row],[Commodity]],"Change")</f>
        <v>-29</v>
      </c>
      <c r="E2" s="12" cm="1">
        <f t="array" ref="E2">_FV(Table13[[#This Row],[Commodity]],"Change (%)",TRUE)</f>
        <v>-1.6393999999999999E-2</v>
      </c>
    </row>
    <row r="3" spans="2:16" x14ac:dyDescent="0.25">
      <c r="B3" s="18" t="s">
        <v>5</v>
      </c>
      <c r="D3" s="6"/>
    </row>
    <row r="4" spans="2:16" x14ac:dyDescent="0.25">
      <c r="B4" s="8" t="s">
        <v>46</v>
      </c>
      <c r="C4" s="7" t="s">
        <v>10</v>
      </c>
      <c r="D4" s="7" t="s">
        <v>51</v>
      </c>
      <c r="E4" s="7" t="s">
        <v>49</v>
      </c>
      <c r="F4" s="7" t="s">
        <v>54</v>
      </c>
      <c r="G4" s="7" t="s">
        <v>45</v>
      </c>
      <c r="H4" s="7" t="s">
        <v>47</v>
      </c>
      <c r="I4" s="7" t="s">
        <v>48</v>
      </c>
      <c r="J4" s="7" t="s">
        <v>50</v>
      </c>
      <c r="K4" s="7" t="s">
        <v>52</v>
      </c>
      <c r="L4" s="7" t="s">
        <v>56</v>
      </c>
      <c r="M4" s="7" t="s">
        <v>81</v>
      </c>
      <c r="N4" s="7" t="s">
        <v>82</v>
      </c>
      <c r="O4" s="7" t="s">
        <v>80</v>
      </c>
      <c r="P4" s="7" t="s">
        <v>55</v>
      </c>
    </row>
    <row r="5" spans="2:16" x14ac:dyDescent="0.25">
      <c r="B5" s="1" t="e" vm="46">
        <v>#VALUE!</v>
      </c>
      <c r="C5" s="3">
        <f t="shared" ref="C5:C40" si="0">_FV(B5,"Price")</f>
        <v>73.5</v>
      </c>
      <c r="D5" s="3" cm="1">
        <f t="array" ref="D5">_FV(Table3[[#This Row],[Name ]],"Change")</f>
        <v>1.66</v>
      </c>
      <c r="E5" s="17" cm="1">
        <f t="array" ref="E5">_FV(Table3[[#This Row],[Name ]],"Change (%)",TRUE)</f>
        <v>2.3107000000000003E-2</v>
      </c>
      <c r="F5" s="15" cm="1">
        <f t="array" ref="F5">(_FV(Table3[[#This Row],[Name ]],"Volume"))</f>
        <v>1094146</v>
      </c>
      <c r="G5" s="5" cm="1">
        <f t="array" ref="G5">_FV(B5,"Market cap",TRUE)/1000000</f>
        <v>17240.53</v>
      </c>
      <c r="H5" s="3" cm="1">
        <f t="array" ref="H5">_FV(Table3[[#This Row],[Name ]],"52 week high",TRUE)</f>
        <v>86.39</v>
      </c>
      <c r="I5" s="3" cm="1">
        <f t="array" ref="I5">_FV(Table3[[#This Row],[Name ]],"52 week low",TRUE)</f>
        <v>43.25</v>
      </c>
      <c r="J5" s="10" cm="1">
        <f t="array" ref="J5">(_FV(Table3[[#This Row],[Name ]],"Shares outstanding",TRUE))/1000000</f>
        <v>240.84819999999999</v>
      </c>
      <c r="K5" s="3">
        <v>82.22</v>
      </c>
      <c r="L5" s="11">
        <f>(Table3[[#This Row],[Price]]-Table3[[#This Row],[2020 Peak]])/Table3[[#This Row],[2020 Peak]]</f>
        <v>-0.10605692045730965</v>
      </c>
      <c r="M5" s="11"/>
      <c r="N5" s="11"/>
      <c r="O5" s="11"/>
      <c r="P5" s="3"/>
    </row>
    <row r="6" spans="2:16" x14ac:dyDescent="0.25">
      <c r="B6" s="1" t="e" vm="8">
        <v>#VALUE!</v>
      </c>
      <c r="C6" s="3">
        <f t="shared" si="0"/>
        <v>34</v>
      </c>
      <c r="D6" s="3" cm="1">
        <f t="array" ref="D6">_FV(Table3[[#This Row],[Name ]],"Change")</f>
        <v>0.21</v>
      </c>
      <c r="E6" s="17" cm="1">
        <f t="array" ref="E6">_FV(Table3[[#This Row],[Name ]],"Change (%)",TRUE)</f>
        <v>6.2150000000000009E-3</v>
      </c>
      <c r="F6" s="15" cm="1">
        <f t="array" ref="F6">(_FV(Table3[[#This Row],[Name ]],"Volume"))</f>
        <v>8285295</v>
      </c>
      <c r="G6" s="5" cm="1">
        <f t="array" ref="G6">_FV(B6,"Market cap",TRUE)/1000000</f>
        <v>59864.49</v>
      </c>
      <c r="H6" s="3" cm="1">
        <f t="array" ref="H6">_FV(Table3[[#This Row],[Name ]],"52 week high",TRUE)</f>
        <v>34.49</v>
      </c>
      <c r="I6" s="3" cm="1">
        <f t="array" ref="I6">_FV(Table3[[#This Row],[Name ]],"52 week low",TRUE)</f>
        <v>15.72</v>
      </c>
      <c r="J6" s="10" cm="1">
        <f t="array" ref="J6">(_FV(Table3[[#This Row],[Name ]],"Shares outstanding",TRUE))/1000000</f>
        <v>1778.0350000000001</v>
      </c>
      <c r="K6" s="3">
        <v>29.93</v>
      </c>
      <c r="L6" s="11">
        <f>(Table3[[#This Row],[Price]]-Table3[[#This Row],[2020 Peak]])/Table3[[#This Row],[2020 Peak]]</f>
        <v>0.13598396257935183</v>
      </c>
      <c r="M6" s="11"/>
      <c r="N6" s="11"/>
      <c r="O6" s="11"/>
      <c r="P6" s="3"/>
    </row>
    <row r="7" spans="2:16" x14ac:dyDescent="0.25">
      <c r="B7" s="1" t="e" vm="2">
        <v>#VALUE!</v>
      </c>
      <c r="C7" s="3">
        <f t="shared" si="0"/>
        <v>171.48</v>
      </c>
      <c r="D7" s="3" cm="1">
        <f t="array" ref="D7">_FV(Table3[[#This Row],[Name ]],"Change")</f>
        <v>2.4900000000000002</v>
      </c>
      <c r="E7" s="17" cm="1">
        <f t="array" ref="E7">_FV(Table3[[#This Row],[Name ]],"Change (%)",TRUE)</f>
        <v>1.4735E-2</v>
      </c>
      <c r="F7" s="15" cm="1">
        <f t="array" ref="F7">(_FV(Table3[[#This Row],[Name ]],"Volume"))</f>
        <v>864675</v>
      </c>
      <c r="G7" s="5" cm="1">
        <f t="array" ref="G7">_FV(B7,"Market cap",TRUE)/1000000</f>
        <v>31893.98</v>
      </c>
      <c r="H7" s="3" cm="1">
        <f t="array" ref="H7">_FV(Table3[[#This Row],[Name ]],"52 week high",TRUE)</f>
        <v>171.48</v>
      </c>
      <c r="I7" s="3" cm="1">
        <f t="array" ref="I7">_FV(Table3[[#This Row],[Name ]],"52 week low",TRUE)</f>
        <v>93.24</v>
      </c>
      <c r="J7" s="10" cm="1">
        <f t="array" ref="J7">(_FV(Table3[[#This Row],[Name ]],"Shares outstanding",TRUE))/1000000</f>
        <v>189.4117</v>
      </c>
      <c r="K7" s="3">
        <v>162.06</v>
      </c>
      <c r="L7" s="11">
        <f>(Table3[[#This Row],[Price]]-Table3[[#This Row],[2020 Peak]])/Table3[[#This Row],[2020 Peak]]</f>
        <v>5.8126619770455308E-2</v>
      </c>
      <c r="M7" s="11"/>
      <c r="N7" s="11"/>
      <c r="O7" s="11"/>
      <c r="P7" s="3"/>
    </row>
    <row r="8" spans="2:16" ht="14.25" customHeight="1" x14ac:dyDescent="0.25">
      <c r="B8" s="1" t="e" vm="42">
        <v>#VALUE!</v>
      </c>
      <c r="C8" s="3">
        <f t="shared" si="0"/>
        <v>51.74</v>
      </c>
      <c r="D8" s="3" cm="1">
        <f t="array" ref="D8">_FV(Table3[[#This Row],[Name ]],"Change")</f>
        <v>-1.45</v>
      </c>
      <c r="E8" s="17" cm="1">
        <f t="array" ref="E8">_FV(Table3[[#This Row],[Name ]],"Change (%)",TRUE)</f>
        <v>-2.7261000000000001E-2</v>
      </c>
      <c r="F8" s="15" cm="1">
        <f t="array" ref="F8">(_FV(Table3[[#This Row],[Name ]],"Volume"))</f>
        <v>2067289</v>
      </c>
      <c r="G8" s="5" cm="1">
        <f t="array" ref="G8">_FV(B8,"Market cap",TRUE)/1000000</f>
        <v>15191.53</v>
      </c>
      <c r="H8" s="3" cm="1">
        <f t="array" ref="H8">_FV(Table3[[#This Row],[Name ]],"52 week high",TRUE)</f>
        <v>67.87</v>
      </c>
      <c r="I8" s="3" cm="1">
        <f t="array" ref="I8">_FV(Table3[[#This Row],[Name ]],"52 week low",TRUE)</f>
        <v>25.67</v>
      </c>
      <c r="J8" s="10" cm="1">
        <f t="array" ref="J8">(_FV(Table3[[#This Row],[Name ]],"Shares outstanding",TRUE))/1000000</f>
        <v>286.63589999999999</v>
      </c>
      <c r="K8" s="3">
        <v>59.09</v>
      </c>
      <c r="L8" s="11">
        <f>(Table3[[#This Row],[Price]]-Table3[[#This Row],[2020 Peak]])/Table3[[#This Row],[2020 Peak]]</f>
        <v>-0.12438652902352346</v>
      </c>
      <c r="M8" s="11"/>
      <c r="N8" s="11"/>
      <c r="O8" s="11"/>
      <c r="P8" s="3"/>
    </row>
    <row r="9" spans="2:16" x14ac:dyDescent="0.25">
      <c r="B9" s="1" t="e" vm="38">
        <v>#VALUE!</v>
      </c>
      <c r="C9" s="3">
        <f t="shared" si="0"/>
        <v>82.76</v>
      </c>
      <c r="D9" s="3" cm="1">
        <f t="array" ref="D9">_FV(Table3[[#This Row],[Name ]],"Change")</f>
        <v>0.22</v>
      </c>
      <c r="E9" s="17" cm="1">
        <f t="array" ref="E9">_FV(Table3[[#This Row],[Name ]],"Change (%)",TRUE)</f>
        <v>2.6650000000000003E-3</v>
      </c>
      <c r="F9" s="15" cm="1">
        <f t="array" ref="F9">(_FV(Table3[[#This Row],[Name ]],"Volume"))</f>
        <v>228051</v>
      </c>
      <c r="G9" s="5" cm="1">
        <f t="array" ref="G9">_FV(B9,"Market cap",TRUE)/1000000</f>
        <v>48281.46</v>
      </c>
      <c r="H9" s="3" cm="1">
        <f t="array" ref="H9">_FV(Table3[[#This Row],[Name ]],"52 week high",TRUE)</f>
        <v>84.2</v>
      </c>
      <c r="I9" s="3" cm="1">
        <f t="array" ref="I9">_FV(Table3[[#This Row],[Name ]],"52 week low",TRUE)</f>
        <v>40.01</v>
      </c>
      <c r="J9" s="10" cm="1">
        <f t="array" ref="J9">(_FV(Table3[[#This Row],[Name ]],"Shares outstanding",TRUE))/1000000</f>
        <v>807.78750000000002</v>
      </c>
      <c r="K9" s="3">
        <v>70.41</v>
      </c>
      <c r="L9" s="11">
        <f>(Table3[[#This Row],[Price]]-Table3[[#This Row],[2020 Peak]])/Table3[[#This Row],[2020 Peak]]</f>
        <v>0.17540122141741243</v>
      </c>
      <c r="M9" s="11"/>
      <c r="N9" s="11"/>
      <c r="O9" s="11"/>
      <c r="P9" s="3"/>
    </row>
    <row r="10" spans="2:16" x14ac:dyDescent="0.25">
      <c r="B10" s="2" t="s">
        <v>13</v>
      </c>
      <c r="D10" s="5"/>
      <c r="E10" s="3"/>
      <c r="F10" s="3"/>
      <c r="G10" s="5"/>
      <c r="H10" s="3"/>
      <c r="I10" s="3"/>
      <c r="J10" s="3"/>
      <c r="K10" s="3"/>
      <c r="L10" s="3"/>
      <c r="M10" s="3"/>
      <c r="N10" s="3"/>
      <c r="O10" s="3"/>
      <c r="P10" s="3"/>
    </row>
    <row r="11" spans="2:16" x14ac:dyDescent="0.25">
      <c r="B11" s="8" t="s">
        <v>0</v>
      </c>
      <c r="C11" s="7" t="s">
        <v>10</v>
      </c>
      <c r="D11" s="7" t="s">
        <v>51</v>
      </c>
      <c r="E11" s="7" t="s">
        <v>49</v>
      </c>
      <c r="F11" s="7" t="s">
        <v>54</v>
      </c>
      <c r="G11" s="7" t="s">
        <v>45</v>
      </c>
      <c r="H11" s="7" t="s">
        <v>47</v>
      </c>
      <c r="I11" s="7" t="s">
        <v>48</v>
      </c>
      <c r="J11" s="7" t="s">
        <v>50</v>
      </c>
      <c r="K11" s="7" t="s">
        <v>52</v>
      </c>
      <c r="L11" s="7" t="s">
        <v>53</v>
      </c>
      <c r="M11" s="7" t="s">
        <v>55</v>
      </c>
    </row>
    <row r="12" spans="2:16" x14ac:dyDescent="0.25">
      <c r="B12" s="1" t="e" vm="6">
        <v>#VALUE!</v>
      </c>
      <c r="C12" s="3">
        <f t="shared" si="0"/>
        <v>6.79</v>
      </c>
      <c r="D12" s="16" cm="1">
        <f t="array" ref="D12">_FV(Table5[[#This Row],[Name]],"Change")</f>
        <v>-0.14000000000000001</v>
      </c>
      <c r="E12" s="17" cm="1">
        <f t="array" ref="E12">_FV(Table5[[#This Row],[Name]],"Change (%)",TRUE)</f>
        <v>-2.0202000000000001E-2</v>
      </c>
      <c r="F12" s="13" cm="1">
        <f t="array" ref="F12">_FV(Table5[[#This Row],[Name]],"Volume")</f>
        <v>5215829</v>
      </c>
      <c r="G12" s="5" cm="1">
        <f t="array" ref="G12">_FV(Table5[[#This Row],[Name]],"Market cap",TRUE)/1000000</f>
        <v>3750.355</v>
      </c>
      <c r="H12" s="3" cm="1">
        <f t="array" ref="H12">_FV(Table5[[#This Row],[Name]],"52 week high",TRUE)</f>
        <v>7.7750000000000004</v>
      </c>
      <c r="I12" s="3" cm="1">
        <f t="array" ref="I12">_FV(Table5[[#This Row],[Name]],"52 week low",TRUE)</f>
        <v>3.34</v>
      </c>
      <c r="J12" s="13" cm="1">
        <f t="array" ref="J12">(_FV(Table5[[#This Row],[Name]],"Shares outstanding",TRUE))/1000000</f>
        <v>391.25200000000001</v>
      </c>
      <c r="K12" s="3">
        <v>7.06</v>
      </c>
      <c r="L12" s="11">
        <f>(Table5[[#This Row],[Price]]-Table5[[#This Row],[2020 Peak]])/Table5[[#This Row],[2020 Peak]]</f>
        <v>-3.8243626062322886E-2</v>
      </c>
    </row>
    <row r="13" spans="2:16" x14ac:dyDescent="0.25">
      <c r="B13" s="1" t="e" vm="48">
        <v>#VALUE!</v>
      </c>
      <c r="C13" s="4">
        <f t="shared" si="0"/>
        <v>23.44</v>
      </c>
      <c r="D13" s="16" cm="1">
        <f t="array" ref="D13">_FV(Table5[[#This Row],[Name]],"Change")</f>
        <v>0.73</v>
      </c>
      <c r="E13" s="17" cm="1">
        <f t="array" ref="E13">_FV(Table5[[#This Row],[Name]],"Change (%)",TRUE)</f>
        <v>3.2143999999999999E-2</v>
      </c>
      <c r="F13" s="13" cm="1">
        <f t="array" ref="F13">_FV(Table5[[#This Row],[Name]],"Volume")</f>
        <v>5812515</v>
      </c>
      <c r="G13" s="5" cm="1">
        <f t="array" ref="G13">_FV(Table5[[#This Row],[Name]],"Market cap",TRUE)/1000000</f>
        <v>8714.4380000000001</v>
      </c>
      <c r="H13" s="4" cm="1">
        <f t="array" ref="H13">_FV(Table5[[#This Row],[Name]],"52 week high",TRUE)</f>
        <v>23.85</v>
      </c>
      <c r="I13" s="4" cm="1">
        <f t="array" ref="I13">_FV(Table5[[#This Row],[Name]],"52 week low",TRUE)</f>
        <v>11.29</v>
      </c>
      <c r="J13" s="13" cm="1">
        <f t="array" ref="J13">(_FV(Table5[[#This Row],[Name]],"Shares outstanding",TRUE))/1000000</f>
        <v>416.34070000000003</v>
      </c>
      <c r="K13" s="3">
        <v>23.7</v>
      </c>
      <c r="L13" s="11">
        <f>(Table5[[#This Row],[Price]]-Table5[[#This Row],[2020 Peak]])/Table5[[#This Row],[2020 Peak]]</f>
        <v>-1.0970464135021013E-2</v>
      </c>
    </row>
    <row r="14" spans="2:16" x14ac:dyDescent="0.25">
      <c r="B14" s="1" t="e" vm="39">
        <v>#VALUE!</v>
      </c>
      <c r="C14" s="3">
        <f t="shared" si="0"/>
        <v>6.43</v>
      </c>
      <c r="D14" s="16" cm="1">
        <f t="array" ref="D14">_FV(Table5[[#This Row],[Name]],"Change")</f>
        <v>7.0000000000000007E-2</v>
      </c>
      <c r="E14" s="17" cm="1">
        <f t="array" ref="E14">_FV(Table5[[#This Row],[Name]],"Change (%)",TRUE)</f>
        <v>1.1006E-2</v>
      </c>
      <c r="F14" s="13" cm="1">
        <f t="array" ref="F14">_FV(Table5[[#This Row],[Name]],"Volume")</f>
        <v>13219914</v>
      </c>
      <c r="G14" s="5" cm="1">
        <f t="array" ref="G14">_FV(Table5[[#This Row],[Name]],"Market cap",TRUE)/1000000</f>
        <v>6529.8580000000002</v>
      </c>
      <c r="H14" s="3" cm="1">
        <f t="array" ref="H14">_FV(Table5[[#This Row],[Name]],"52 week high",TRUE)</f>
        <v>6.51</v>
      </c>
      <c r="I14" s="3" cm="1">
        <f t="array" ref="I14">_FV(Table5[[#This Row],[Name]],"52 week low",TRUE)</f>
        <v>3.12</v>
      </c>
      <c r="J14" s="13" cm="1">
        <f t="array" ref="J14">(_FV(Table5[[#This Row],[Name]],"Shares outstanding",TRUE))/1000000</f>
        <v>1030.4000000000001</v>
      </c>
      <c r="K14" s="3">
        <v>6.51</v>
      </c>
      <c r="L14" s="11">
        <f>(Table5[[#This Row],[Price]]-Table5[[#This Row],[2020 Peak]])/Table5[[#This Row],[2020 Peak]]</f>
        <v>-1.2288786482334882E-2</v>
      </c>
    </row>
    <row r="15" spans="2:16" x14ac:dyDescent="0.25">
      <c r="B15" s="1" t="e" vm="5">
        <v>#VALUE!</v>
      </c>
      <c r="C15" s="3">
        <f t="shared" si="0"/>
        <v>9.77</v>
      </c>
      <c r="D15" s="16" cm="1">
        <f t="array" ref="D15">_FV(Table5[[#This Row],[Name]],"Change")</f>
        <v>0</v>
      </c>
      <c r="E15" s="17" cm="1">
        <f t="array" ref="E15">_FV(Table5[[#This Row],[Name]],"Change (%)",TRUE)</f>
        <v>0</v>
      </c>
      <c r="F15" s="13" cm="1">
        <f t="array" ref="F15">_FV(Table5[[#This Row],[Name]],"Volume")</f>
        <v>1473443</v>
      </c>
      <c r="G15" s="5" cm="1">
        <f t="array" ref="G15">_FV(Table5[[#This Row],[Name]],"Market cap",TRUE)/1000000</f>
        <v>2859.0729999999999</v>
      </c>
      <c r="H15" s="3" cm="1">
        <f t="array" ref="H15">_FV(Table5[[#This Row],[Name]],"52 week high",TRUE)</f>
        <v>13</v>
      </c>
      <c r="I15" s="3" cm="1">
        <f t="array" ref="I15">_FV(Table5[[#This Row],[Name]],"52 week low",TRUE)</f>
        <v>5.52</v>
      </c>
      <c r="J15" s="13" cm="1">
        <f t="array" ref="J15">(_FV(Table5[[#This Row],[Name]],"Shares outstanding",TRUE))/1000000</f>
        <v>293.69049999999999</v>
      </c>
      <c r="K15" s="3">
        <v>11.18</v>
      </c>
      <c r="L15" s="11">
        <f>(Table5[[#This Row],[Price]]-Table5[[#This Row],[2020 Peak]])/Table5[[#This Row],[2020 Peak]]</f>
        <v>-0.12611806797853312</v>
      </c>
    </row>
    <row r="16" spans="2:16" x14ac:dyDescent="0.25">
      <c r="B16" s="1" t="e" vm="7">
        <v>#VALUE!</v>
      </c>
      <c r="C16" s="3">
        <f t="shared" si="0"/>
        <v>8.5</v>
      </c>
      <c r="D16" s="16" cm="1">
        <f t="array" ref="D16">_FV(Table5[[#This Row],[Name]],"Change")</f>
        <v>-0.17</v>
      </c>
      <c r="E16" s="17" cm="1">
        <f t="array" ref="E16">_FV(Table5[[#This Row],[Name]],"Change (%)",TRUE)</f>
        <v>-1.9608E-2</v>
      </c>
      <c r="F16" s="13" cm="1">
        <f t="array" ref="F16">_FV(Table5[[#This Row],[Name]],"Volume")</f>
        <v>9603543</v>
      </c>
      <c r="G16" s="5" cm="1">
        <f t="array" ref="G16">_FV(Table5[[#This Row],[Name]],"Market cap",TRUE)/1000000</f>
        <v>10860.91</v>
      </c>
      <c r="H16" s="3" cm="1">
        <f t="array" ref="H16">_FV(Table5[[#This Row],[Name]],"52 week high",TRUE)</f>
        <v>8.8000000000000007</v>
      </c>
      <c r="I16" s="3" cm="1">
        <f t="array" ref="I16">_FV(Table5[[#This Row],[Name]],"52 week low",TRUE)</f>
        <v>4</v>
      </c>
      <c r="J16" s="13" cm="1">
        <f t="array" ref="J16">(_FV(Table5[[#This Row],[Name]],"Shares outstanding",TRUE))/1000000</f>
        <v>1257.2059999999999</v>
      </c>
      <c r="K16" s="3">
        <v>8.3000000000000007</v>
      </c>
      <c r="L16" s="11">
        <f>(Table5[[#This Row],[Price]]-Table5[[#This Row],[2020 Peak]])/Table5[[#This Row],[2020 Peak]]</f>
        <v>2.4096385542168586E-2</v>
      </c>
    </row>
    <row r="17" spans="2:13" x14ac:dyDescent="0.25">
      <c r="B17" s="1" t="e" vm="55">
        <v>#VALUE!</v>
      </c>
      <c r="C17" s="3">
        <f t="shared" si="0"/>
        <v>10.94</v>
      </c>
      <c r="D17" s="16" cm="1">
        <f t="array" ref="D17">_FV(Table5[[#This Row],[Name]],"Change")</f>
        <v>-0.06</v>
      </c>
      <c r="E17" s="17" cm="1">
        <f t="array" ref="E17">_FV(Table5[[#This Row],[Name]],"Change (%)",TRUE)</f>
        <v>-5.4549999999999998E-3</v>
      </c>
      <c r="F17" s="13" cm="1">
        <f t="array" ref="F17">_FV(Table5[[#This Row],[Name]],"Volume")</f>
        <v>1029446</v>
      </c>
      <c r="G17" s="5" cm="1">
        <f t="array" ref="G17">_FV(Table5[[#This Row],[Name]],"Market cap",TRUE)/1000000</f>
        <v>2039.2380000000001</v>
      </c>
      <c r="H17" s="3" cm="1">
        <f t="array" ref="H17">_FV(Table5[[#This Row],[Name]],"52 week high",TRUE)</f>
        <v>18.295000000000002</v>
      </c>
      <c r="I17" s="3" cm="1">
        <f t="array" ref="I17">_FV(Table5[[#This Row],[Name]],"52 week low",TRUE)</f>
        <v>6.25</v>
      </c>
      <c r="J17" s="13" cm="1">
        <f t="array" ref="J17">(_FV(Table5[[#This Row],[Name]],"Shares outstanding",TRUE))/1000000</f>
        <v>185.3853</v>
      </c>
      <c r="K17" s="3">
        <v>14.58</v>
      </c>
      <c r="L17" s="11">
        <f>(Table5[[#This Row],[Price]]-Table5[[#This Row],[2020 Peak]])/Table5[[#This Row],[2020 Peak]]</f>
        <v>-0.24965706447187933</v>
      </c>
    </row>
    <row r="18" spans="2:13" x14ac:dyDescent="0.25">
      <c r="B18" s="1" t="e" vm="52">
        <v>#VALUE!</v>
      </c>
      <c r="C18" s="3">
        <f t="shared" si="0"/>
        <v>5.92</v>
      </c>
      <c r="D18" s="16" cm="1">
        <f t="array" ref="D18">_FV(Table5[[#This Row],[Name]],"Change")</f>
        <v>0.15</v>
      </c>
      <c r="E18" s="17" cm="1">
        <f t="array" ref="E18">_FV(Table5[[#This Row],[Name]],"Change (%)",TRUE)</f>
        <v>2.5996999999999999E-2</v>
      </c>
      <c r="F18" s="13" cm="1">
        <f t="array" ref="F18">_FV(Table5[[#This Row],[Name]],"Volume")</f>
        <v>11375278</v>
      </c>
      <c r="G18" s="5" cm="1">
        <f t="array" ref="G18">_FV(Table5[[#This Row],[Name]],"Market cap",TRUE)/1000000</f>
        <v>5471.223</v>
      </c>
      <c r="H18" s="3" cm="1">
        <f t="array" ref="H18">_FV(Table5[[#This Row],[Name]],"52 week high",TRUE)</f>
        <v>6.56</v>
      </c>
      <c r="I18" s="3" cm="1">
        <f t="array" ref="I18">_FV(Table5[[#This Row],[Name]],"52 week low",TRUE)</f>
        <v>2.41</v>
      </c>
      <c r="J18" s="13" cm="1">
        <f t="array" ref="J18">(_FV(Table5[[#This Row],[Name]],"Shares outstanding",TRUE))/1000000</f>
        <v>951.62919999999997</v>
      </c>
      <c r="K18" s="3">
        <v>6.56</v>
      </c>
      <c r="L18" s="11">
        <f>(Table5[[#This Row],[Price]]-Table5[[#This Row],[2020 Peak]])/Table5[[#This Row],[2020 Peak]]</f>
        <v>-9.7560975609756059E-2</v>
      </c>
    </row>
    <row r="19" spans="2:13" x14ac:dyDescent="0.25">
      <c r="B19" s="2" t="s">
        <v>23</v>
      </c>
      <c r="D19" s="5"/>
      <c r="L19" s="11"/>
    </row>
    <row r="20" spans="2:13" x14ac:dyDescent="0.25">
      <c r="B20" s="7" t="s">
        <v>0</v>
      </c>
      <c r="C20" s="7" t="s">
        <v>10</v>
      </c>
      <c r="D20" s="7" t="s">
        <v>51</v>
      </c>
      <c r="E20" s="7" t="s">
        <v>49</v>
      </c>
      <c r="F20" s="7" t="s">
        <v>54</v>
      </c>
      <c r="G20" s="7" t="s">
        <v>45</v>
      </c>
      <c r="H20" s="7" t="s">
        <v>47</v>
      </c>
      <c r="I20" s="7" t="s">
        <v>48</v>
      </c>
      <c r="J20" s="7" t="s">
        <v>50</v>
      </c>
      <c r="K20" s="7" t="s">
        <v>52</v>
      </c>
      <c r="L20" s="7" t="s">
        <v>53</v>
      </c>
      <c r="M20" s="7" t="s">
        <v>55</v>
      </c>
    </row>
    <row r="21" spans="2:13" x14ac:dyDescent="0.25">
      <c r="B21" s="1" t="e" vm="1">
        <v>#VALUE!</v>
      </c>
      <c r="C21" s="3">
        <f t="shared" si="0"/>
        <v>2.61</v>
      </c>
      <c r="D21" s="16" cm="1">
        <f t="array" ref="D21">_FV(Table7[[#This Row],[Name]],"Change")</f>
        <v>0.01</v>
      </c>
      <c r="E21" s="17" cm="1">
        <f t="array" ref="E21">_FV(Table7[[#This Row],[Name]],"Change (%)",TRUE)</f>
        <v>3.846E-3</v>
      </c>
      <c r="F21" s="13" cm="1">
        <f t="array" ref="F21">_FV(Table7[[#This Row],[Name]],"Volume")</f>
        <v>218150</v>
      </c>
      <c r="G21" s="5" cm="1">
        <f t="array" ref="G21">_FV(Table7[[#This Row],[Name]],"Market cap",TRUE)/1000000</f>
        <v>1583.9780000000001</v>
      </c>
      <c r="H21" s="3" cm="1">
        <f t="array" ref="H21">_FV(Table7[[#This Row],[Name]],"52 week high",TRUE)</f>
        <v>2.66</v>
      </c>
      <c r="I21" s="3" cm="1">
        <f t="array" ref="I21">_FV(Table7[[#This Row],[Name]],"52 week low",TRUE)</f>
        <v>1.39</v>
      </c>
      <c r="J21" s="13" cm="1">
        <f t="array" ref="J21">_FV(Table7[[#This Row],[Name]],"Shares outstanding",TRUE)/1000000</f>
        <v>1155.9549999999999</v>
      </c>
      <c r="K21" s="3">
        <v>2.63</v>
      </c>
      <c r="L21" s="11">
        <f>(Table7[[#This Row],[Price]]-Table7[[#This Row],[2020 Peak]])/Table7[[#This Row],[2020 Peak]]</f>
        <v>-7.6045627376425924E-3</v>
      </c>
    </row>
    <row r="22" spans="2:13" x14ac:dyDescent="0.25">
      <c r="B22" s="1" t="e" vm="41">
        <v>#VALUE!</v>
      </c>
      <c r="C22" s="3">
        <f t="shared" si="0"/>
        <v>11.96</v>
      </c>
      <c r="D22" s="16" cm="1">
        <f t="array" ref="D22">_FV(Table7[[#This Row],[Name]],"Change")</f>
        <v>-0.15</v>
      </c>
      <c r="E22" s="17" cm="1">
        <f t="array" ref="E22">_FV(Table7[[#This Row],[Name]],"Change (%)",TRUE)</f>
        <v>-1.2385999999999999E-2</v>
      </c>
      <c r="F22" s="13" cm="1">
        <f t="array" ref="F22">_FV(Table7[[#This Row],[Name]],"Volume")</f>
        <v>2025737</v>
      </c>
      <c r="G22" s="5" cm="1">
        <f t="array" ref="G22">_FV(Table7[[#This Row],[Name]],"Market cap",TRUE)/1000000</f>
        <v>1990.627</v>
      </c>
      <c r="H22" s="3" cm="1">
        <f t="array" ref="H22">_FV(Table7[[#This Row],[Name]],"52 week high",TRUE)</f>
        <v>14.99</v>
      </c>
      <c r="I22" s="3" cm="1">
        <f t="array" ref="I22">_FV(Table7[[#This Row],[Name]],"52 week low",TRUE)</f>
        <v>4.0999999999999996</v>
      </c>
      <c r="J22" s="13" cm="1">
        <f t="array" ref="J22">_FV(Table7[[#This Row],[Name]],"Shares outstanding",TRUE)/1000000</f>
        <v>164.97</v>
      </c>
      <c r="K22" s="3">
        <v>14.99</v>
      </c>
      <c r="L22" s="11">
        <f>(Table7[[#This Row],[Price]]-Table7[[#This Row],[2020 Peak]])/Table7[[#This Row],[2020 Peak]]</f>
        <v>-0.20213475650433618</v>
      </c>
    </row>
    <row r="23" spans="2:13" x14ac:dyDescent="0.25">
      <c r="B23" s="1" t="e" vm="3">
        <v>#VALUE!</v>
      </c>
      <c r="C23" s="3">
        <f t="shared" si="0"/>
        <v>4.29</v>
      </c>
      <c r="D23" s="16" cm="1">
        <f t="array" ref="D23">_FV(Table7[[#This Row],[Name]],"Change")</f>
        <v>0</v>
      </c>
      <c r="E23" s="17" cm="1">
        <f t="array" ref="E23">_FV(Table7[[#This Row],[Name]],"Change (%)",TRUE)</f>
        <v>0</v>
      </c>
      <c r="F23" s="13" cm="1">
        <f t="array" ref="F23">_FV(Table7[[#This Row],[Name]],"Volume")</f>
        <v>4095836</v>
      </c>
      <c r="G23" s="5" cm="1">
        <f t="array" ref="G23">_FV(Table7[[#This Row],[Name]],"Market cap",TRUE)/1000000</f>
        <v>2010.328</v>
      </c>
      <c r="H23" s="3" cm="1">
        <f t="array" ref="H23">_FV(Table7[[#This Row],[Name]],"52 week high",TRUE)</f>
        <v>5.55</v>
      </c>
      <c r="I23" s="3" cm="1">
        <f t="array" ref="I23">_FV(Table7[[#This Row],[Name]],"52 week low",TRUE)</f>
        <v>2</v>
      </c>
      <c r="J23" s="13" cm="1">
        <f t="array" ref="J23">_FV(Table7[[#This Row],[Name]],"Shares outstanding",TRUE)/1000000</f>
        <v>470.29320000000001</v>
      </c>
      <c r="K23" s="3">
        <v>4.93</v>
      </c>
      <c r="L23" s="11">
        <f>(Table7[[#This Row],[Price]]-Table7[[#This Row],[2020 Peak]])/Table7[[#This Row],[2020 Peak]]</f>
        <v>-0.12981744421906688</v>
      </c>
    </row>
    <row r="24" spans="2:13" x14ac:dyDescent="0.25">
      <c r="B24" s="1" t="e" vm="50">
        <v>#VALUE!</v>
      </c>
      <c r="C24" s="3">
        <f t="shared" si="0"/>
        <v>10.210000000000001</v>
      </c>
      <c r="D24" s="16" cm="1">
        <f t="array" ref="D24">_FV(Table7[[#This Row],[Name]],"Change")</f>
        <v>0.68</v>
      </c>
      <c r="E24" s="17" cm="1">
        <f t="array" ref="E24">_FV(Table7[[#This Row],[Name]],"Change (%)",TRUE)</f>
        <v>7.1354000000000001E-2</v>
      </c>
      <c r="F24" s="13" cm="1">
        <f t="array" ref="F24">_FV(Table7[[#This Row],[Name]],"Volume")</f>
        <v>683381</v>
      </c>
      <c r="G24" s="5" cm="1">
        <f t="array" ref="G24">_FV(Table7[[#This Row],[Name]],"Market cap",TRUE)/1000000</f>
        <v>2138.19</v>
      </c>
      <c r="H24" s="3" cm="1">
        <f t="array" ref="H24">_FV(Table7[[#This Row],[Name]],"52 week high",TRUE)</f>
        <v>13.49</v>
      </c>
      <c r="I24" s="3" cm="1">
        <f t="array" ref="I24">_FV(Table7[[#This Row],[Name]],"52 week low",TRUE)</f>
        <v>5.0199999999999996</v>
      </c>
      <c r="J24" s="13" cm="1">
        <f t="array" ref="J24">_FV(Table7[[#This Row],[Name]],"Shares outstanding",TRUE)/1000000</f>
        <v>224.36420000000001</v>
      </c>
      <c r="K24" s="3">
        <v>13.49</v>
      </c>
      <c r="L24" s="11">
        <f>(Table7[[#This Row],[Price]]-Table7[[#This Row],[2020 Peak]])/Table7[[#This Row],[2020 Peak]]</f>
        <v>-0.24314306893995546</v>
      </c>
    </row>
    <row r="25" spans="2:13" x14ac:dyDescent="0.25">
      <c r="B25" s="1" t="e" vm="4">
        <v>#VALUE!</v>
      </c>
      <c r="C25" s="3">
        <f t="shared" si="0"/>
        <v>21.53</v>
      </c>
      <c r="D25" s="16" cm="1">
        <f t="array" ref="D25">_FV(Table7[[#This Row],[Name]],"Change")</f>
        <v>-0.42</v>
      </c>
      <c r="E25" s="17" cm="1">
        <f t="array" ref="E25">_FV(Table7[[#This Row],[Name]],"Change (%)",TRUE)</f>
        <v>-1.9133999999999998E-2</v>
      </c>
      <c r="F25" s="13" cm="1">
        <f t="array" ref="F25">_FV(Table7[[#This Row],[Name]],"Volume")</f>
        <v>680140</v>
      </c>
      <c r="G25" s="5" cm="1">
        <f t="array" ref="G25">_FV(Table7[[#This Row],[Name]],"Market cap",TRUE)/1000000</f>
        <v>1932.4259999999999</v>
      </c>
      <c r="H25" s="3" cm="1">
        <f t="array" ref="H25">_FV(Table7[[#This Row],[Name]],"52 week high",TRUE)</f>
        <v>25.57</v>
      </c>
      <c r="I25" s="3" cm="1">
        <f t="array" ref="I25">_FV(Table7[[#This Row],[Name]],"52 week low",TRUE)</f>
        <v>12.12</v>
      </c>
      <c r="J25" s="13" cm="1">
        <f t="array" ref="J25">_FV(Table7[[#This Row],[Name]],"Shares outstanding",TRUE)/1000000</f>
        <v>123.0844</v>
      </c>
      <c r="K25" s="3">
        <v>25.57</v>
      </c>
      <c r="L25" s="11">
        <f>(Table7[[#This Row],[Price]]-Table7[[#This Row],[2020 Peak]])/Table7[[#This Row],[2020 Peak]]</f>
        <v>-0.15799765350019551</v>
      </c>
    </row>
    <row r="26" spans="2:13" x14ac:dyDescent="0.25">
      <c r="B26" s="1" t="e" vm="44">
        <v>#VALUE!</v>
      </c>
      <c r="C26" s="3">
        <f t="shared" si="0"/>
        <v>3.55</v>
      </c>
      <c r="D26" s="16" cm="1">
        <f t="array" ref="D26">_FV(Table7[[#This Row],[Name]],"Change")</f>
        <v>0.01</v>
      </c>
      <c r="E26" s="17" cm="1">
        <f t="array" ref="E26">_FV(Table7[[#This Row],[Name]],"Change (%)",TRUE)</f>
        <v>2.8249999999999998E-3</v>
      </c>
      <c r="F26" s="13" cm="1">
        <f t="array" ref="F26">_FV(Table7[[#This Row],[Name]],"Volume")</f>
        <v>3155032</v>
      </c>
      <c r="G26" s="5" cm="1">
        <f t="array" ref="G26">_FV(Table7[[#This Row],[Name]],"Market cap",TRUE)/1000000</f>
        <v>1179.777</v>
      </c>
      <c r="H26" s="3" cm="1">
        <f t="array" ref="H26">_FV(Table7[[#This Row],[Name]],"52 week high",TRUE)</f>
        <v>5.75</v>
      </c>
      <c r="I26" s="3" cm="1">
        <f t="array" ref="I26">_FV(Table7[[#This Row],[Name]],"52 week low",TRUE)</f>
        <v>1.57</v>
      </c>
      <c r="J26" s="13" cm="1">
        <f t="array" ref="J26">_FV(Table7[[#This Row],[Name]],"Shares outstanding",TRUE)/1000000</f>
        <v>334.46890000000002</v>
      </c>
      <c r="K26" s="3">
        <v>3.36</v>
      </c>
      <c r="L26" s="11">
        <f>(Table7[[#This Row],[Price]]-Table7[[#This Row],[2020 Peak]])/Table7[[#This Row],[2020 Peak]]</f>
        <v>5.6547619047619034E-2</v>
      </c>
    </row>
    <row r="27" spans="2:13" x14ac:dyDescent="0.25">
      <c r="B27" s="1" t="e" vm="47">
        <v>#VALUE!</v>
      </c>
      <c r="C27" s="3">
        <f t="shared" si="0"/>
        <v>16.11</v>
      </c>
      <c r="D27" s="16" cm="1">
        <f t="array" ref="D27">_FV(Table7[[#This Row],[Name]],"Change")</f>
        <v>0.93</v>
      </c>
      <c r="E27" s="17" cm="1">
        <f t="array" ref="E27">_FV(Table7[[#This Row],[Name]],"Change (%)",TRUE)</f>
        <v>6.1265E-2</v>
      </c>
      <c r="F27" s="13" cm="1">
        <f t="array" ref="F27">_FV(Table7[[#This Row],[Name]],"Volume")</f>
        <v>715455</v>
      </c>
      <c r="G27" s="5" cm="1">
        <f t="array" ref="G27">_FV(Table7[[#This Row],[Name]],"Market cap",TRUE)/1000000</f>
        <v>1291.5509999999999</v>
      </c>
      <c r="H27" s="3" cm="1">
        <f t="array" ref="H27">_FV(Table7[[#This Row],[Name]],"52 week high",TRUE)</f>
        <v>22.45</v>
      </c>
      <c r="I27" s="3" cm="1">
        <f t="array" ref="I27">_FV(Table7[[#This Row],[Name]],"52 week low",TRUE)</f>
        <v>8.7899999999999991</v>
      </c>
      <c r="J27" s="13" cm="1">
        <f t="array" ref="J27">_FV(Table7[[#This Row],[Name]],"Shares outstanding",TRUE)/1000000</f>
        <v>85.388409999999993</v>
      </c>
      <c r="K27" s="3">
        <v>22.45</v>
      </c>
      <c r="L27" s="11">
        <f>(Table7[[#This Row],[Price]]-Table7[[#This Row],[2020 Peak]])/Table7[[#This Row],[2020 Peak]]</f>
        <v>-0.28240534521158128</v>
      </c>
    </row>
    <row r="28" spans="2:13" x14ac:dyDescent="0.25">
      <c r="B28" s="1" t="s">
        <v>31</v>
      </c>
      <c r="D28" s="5"/>
      <c r="L28" s="3"/>
    </row>
    <row r="29" spans="2:13" x14ac:dyDescent="0.25">
      <c r="B29" s="18" t="s">
        <v>32</v>
      </c>
      <c r="D29" s="5"/>
    </row>
    <row r="30" spans="2:13" x14ac:dyDescent="0.25">
      <c r="B30" s="8" t="s">
        <v>0</v>
      </c>
      <c r="C30" s="7" t="s">
        <v>10</v>
      </c>
      <c r="D30" s="7" t="s">
        <v>51</v>
      </c>
      <c r="E30" s="7" t="s">
        <v>49</v>
      </c>
      <c r="F30" s="7" t="s">
        <v>54</v>
      </c>
      <c r="G30" s="7" t="s">
        <v>45</v>
      </c>
      <c r="H30" s="7" t="s">
        <v>47</v>
      </c>
      <c r="I30" s="7" t="s">
        <v>48</v>
      </c>
      <c r="J30" s="7" t="s">
        <v>50</v>
      </c>
      <c r="K30" s="7" t="s">
        <v>52</v>
      </c>
      <c r="L30" s="7" t="s">
        <v>53</v>
      </c>
      <c r="M30" s="7" t="s">
        <v>55</v>
      </c>
    </row>
    <row r="31" spans="2:13" x14ac:dyDescent="0.25">
      <c r="B31" s="1" t="e" vm="53">
        <v>#VALUE!</v>
      </c>
      <c r="C31" s="3">
        <f t="shared" si="0"/>
        <v>5.99</v>
      </c>
      <c r="D31" s="16" cm="1">
        <f t="array" ref="D31">_FV(Table8[[#This Row],[Name]],"Change")</f>
        <v>-0.13</v>
      </c>
      <c r="E31" s="12" cm="1">
        <f t="array" ref="E31">_FV(Table8[[#This Row],[Name]],"Change (%)",TRUE)</f>
        <v>-2.1242E-2</v>
      </c>
      <c r="F31" s="13" cm="1">
        <f t="array" ref="F31">_FV(Table8[[#This Row],[Name]],"Volume")</f>
        <v>907266</v>
      </c>
      <c r="G31" s="5" cm="1">
        <f t="array" ref="G31">_FV(Table8[[#This Row],[Name]],"Market cap",TRUE)/1000000</f>
        <v>1104.8869999999999</v>
      </c>
      <c r="H31" s="3" cm="1">
        <f t="array" ref="H31">_FV(Table8[[#This Row],[Name]],"52 week high",TRUE)</f>
        <v>6.66</v>
      </c>
      <c r="I31" s="3" cm="1">
        <f t="array" ref="I31">_FV(Table8[[#This Row],[Name]],"52 week low",TRUE)</f>
        <v>3.2</v>
      </c>
      <c r="J31" s="13" cm="1">
        <f t="array" ref="J31">_FV(Table8[[#This Row],[Name]],"Shares outstanding",TRUE)/1000000</f>
        <v>180.53700000000001</v>
      </c>
      <c r="K31" s="1">
        <v>6.25</v>
      </c>
      <c r="L31" s="11">
        <f>(Table8[[#This Row],[Price]]-Table8[[#This Row],[2020 Peak]])/Table8[[#This Row],[2020 Peak]]</f>
        <v>-4.1599999999999963E-2</v>
      </c>
      <c r="M31" s="3"/>
    </row>
    <row r="32" spans="2:13" x14ac:dyDescent="0.25">
      <c r="B32" s="1" t="e" vm="51">
        <v>#VALUE!</v>
      </c>
      <c r="C32" s="3">
        <f t="shared" si="0"/>
        <v>10.55</v>
      </c>
      <c r="D32" s="16" cm="1">
        <f t="array" ref="D32">_FV(Table8[[#This Row],[Name]],"Change")</f>
        <v>0.1</v>
      </c>
      <c r="E32" s="12" cm="1">
        <f t="array" ref="E32">_FV(Table8[[#This Row],[Name]],"Change (%)",TRUE)</f>
        <v>9.5689999999999994E-3</v>
      </c>
      <c r="F32" s="13" cm="1">
        <f t="array" ref="F32">_FV(Table8[[#This Row],[Name]],"Volume")</f>
        <v>2641712</v>
      </c>
      <c r="G32" s="5" cm="1">
        <f t="array" ref="G32">_FV(Table8[[#This Row],[Name]],"Market cap",TRUE)/1000000</f>
        <v>2256.4760000000001</v>
      </c>
      <c r="H32" s="3" cm="1">
        <f t="array" ref="H32">_FV(Table8[[#This Row],[Name]],"52 week high",TRUE)</f>
        <v>13.52</v>
      </c>
      <c r="I32" s="3" cm="1">
        <f t="array" ref="I32">_FV(Table8[[#This Row],[Name]],"52 week low",TRUE)</f>
        <v>4.9000000000000004</v>
      </c>
      <c r="J32" s="13" cm="1">
        <f t="array" ref="J32">_FV(Table8[[#This Row],[Name]],"Shares outstanding",TRUE)/1000000</f>
        <v>215.9307</v>
      </c>
      <c r="K32" s="1">
        <v>13.04</v>
      </c>
      <c r="L32" s="11">
        <f>(Table8[[#This Row],[Price]]-Table8[[#This Row],[2020 Peak]])/Table8[[#This Row],[2020 Peak]]</f>
        <v>-0.19095092024539867</v>
      </c>
      <c r="M32" s="3"/>
    </row>
    <row r="33" spans="2:13" x14ac:dyDescent="0.25">
      <c r="B33" s="1" t="e" vm="56">
        <v>#VALUE!</v>
      </c>
      <c r="C33" s="3">
        <f t="shared" si="0"/>
        <v>0.115</v>
      </c>
      <c r="D33" s="16" cm="1">
        <f t="array" ref="D33">_FV(Table8[[#This Row],[Name]],"Change")</f>
        <v>0</v>
      </c>
      <c r="E33" s="12" cm="1">
        <f t="array" ref="E33">_FV(Table8[[#This Row],[Name]],"Change (%)",TRUE)</f>
        <v>0</v>
      </c>
      <c r="F33" s="13" cm="1">
        <f t="array" ref="F33">_FV(Table8[[#This Row],[Name]],"Volume")</f>
        <v>559648</v>
      </c>
      <c r="G33" s="5" cm="1">
        <f t="array" ref="G33">_FV(Table8[[#This Row],[Name]],"Market cap",TRUE)/1000000</f>
        <v>97.313829999999996</v>
      </c>
      <c r="H33" s="3" cm="1">
        <f t="array" ref="H33">_FV(Table8[[#This Row],[Name]],"52 week high",TRUE)</f>
        <v>0.35</v>
      </c>
      <c r="I33" s="3" cm="1">
        <f t="array" ref="I33">_FV(Table8[[#This Row],[Name]],"52 week low",TRUE)</f>
        <v>7.4999999999999997E-2</v>
      </c>
      <c r="J33" s="13" cm="1">
        <f t="array" ref="J33">_FV(Table8[[#This Row],[Name]],"Shares outstanding",TRUE)/1000000</f>
        <v>846.20719999999994</v>
      </c>
      <c r="K33" s="1">
        <v>0.19</v>
      </c>
      <c r="L33" s="11">
        <f>(Table8[[#This Row],[Price]]-Table8[[#This Row],[2020 Peak]])/Table8[[#This Row],[2020 Peak]]</f>
        <v>-0.39473684210526316</v>
      </c>
      <c r="M33" s="3"/>
    </row>
    <row r="34" spans="2:13" x14ac:dyDescent="0.25">
      <c r="B34" s="1" t="e" vm="45">
        <v>#VALUE!</v>
      </c>
      <c r="C34" s="3">
        <f t="shared" si="0"/>
        <v>3.85</v>
      </c>
      <c r="D34" s="16" cm="1">
        <f t="array" ref="D34">_FV(Table8[[#This Row],[Name]],"Change")</f>
        <v>-0.19</v>
      </c>
      <c r="E34" s="12" cm="1">
        <f t="array" ref="E34">_FV(Table8[[#This Row],[Name]],"Change (%)",TRUE)</f>
        <v>-4.7030000000000002E-2</v>
      </c>
      <c r="F34" s="13" cm="1">
        <f t="array" ref="F34">_FV(Table8[[#This Row],[Name]],"Volume")</f>
        <v>2298302</v>
      </c>
      <c r="G34" s="5" cm="1">
        <f t="array" ref="G34">_FV(Table8[[#This Row],[Name]],"Market cap",TRUE)/1000000</f>
        <v>857.61599999999999</v>
      </c>
      <c r="H34" s="3" cm="1">
        <f t="array" ref="H34">_FV(Table8[[#This Row],[Name]],"52 week high",TRUE)</f>
        <v>4.4649999999999999</v>
      </c>
      <c r="I34" s="3" cm="1">
        <f t="array" ref="I34">_FV(Table8[[#This Row],[Name]],"52 week low",TRUE)</f>
        <v>1.27</v>
      </c>
      <c r="J34" s="13" cm="1">
        <f t="array" ref="J34">_FV(Table8[[#This Row],[Name]],"Shares outstanding",TRUE)/1000000</f>
        <v>213.04470000000001</v>
      </c>
      <c r="K34" s="1">
        <v>4.46</v>
      </c>
      <c r="L34" s="11">
        <f>(Table8[[#This Row],[Price]]-Table8[[#This Row],[2020 Peak]])/Table8[[#This Row],[2020 Peak]]</f>
        <v>-0.13677130044843047</v>
      </c>
      <c r="M34" s="3"/>
    </row>
    <row r="35" spans="2:13" x14ac:dyDescent="0.25">
      <c r="B35" s="1" t="e" vm="43">
        <v>#VALUE!</v>
      </c>
      <c r="C35" s="3">
        <f t="shared" si="0"/>
        <v>1.42</v>
      </c>
      <c r="D35" s="16" cm="1">
        <f t="array" ref="D35">_FV(Table8[[#This Row],[Name]],"Change")</f>
        <v>0.11</v>
      </c>
      <c r="E35" s="12" cm="1">
        <f t="array" ref="E35">_FV(Table8[[#This Row],[Name]],"Change (%)",TRUE)</f>
        <v>8.3969000000000002E-2</v>
      </c>
      <c r="F35" s="13" cm="1">
        <f t="array" ref="F35">_FV(Table8[[#This Row],[Name]],"Volume")</f>
        <v>902717</v>
      </c>
      <c r="G35" s="5" cm="1">
        <f t="array" ref="G35">_FV(Table8[[#This Row],[Name]],"Market cap",TRUE)/1000000</f>
        <v>378.41660000000002</v>
      </c>
      <c r="H35" s="3" cm="1">
        <f t="array" ref="H35">_FV(Table8[[#This Row],[Name]],"52 week high",TRUE)</f>
        <v>2.84</v>
      </c>
      <c r="I35" s="3" cm="1">
        <f t="array" ref="I35">_FV(Table8[[#This Row],[Name]],"52 week low",TRUE)</f>
        <v>0.76</v>
      </c>
      <c r="J35" s="13" cm="1">
        <f t="array" ref="J35">_FV(Table8[[#This Row],[Name]],"Shares outstanding",TRUE)/1000000</f>
        <v>400.39839999999998</v>
      </c>
      <c r="K35" s="1">
        <v>1.75</v>
      </c>
      <c r="L35" s="11">
        <f>(Table8[[#This Row],[Price]]-Table8[[#This Row],[2020 Peak]])/Table8[[#This Row],[2020 Peak]]</f>
        <v>-0.18857142857142861</v>
      </c>
      <c r="M35" s="3"/>
    </row>
    <row r="36" spans="2:13" x14ac:dyDescent="0.25">
      <c r="B36" s="1" t="e" vm="49">
        <v>#VALUE!</v>
      </c>
      <c r="C36" s="3">
        <f t="shared" si="0"/>
        <v>1.06</v>
      </c>
      <c r="D36" s="16" cm="1">
        <f t="array" ref="D36">_FV(Table8[[#This Row],[Name]],"Change")</f>
        <v>0.06</v>
      </c>
      <c r="E36" s="12" cm="1">
        <f t="array" ref="E36">_FV(Table8[[#This Row],[Name]],"Change (%)",TRUE)</f>
        <v>0.06</v>
      </c>
      <c r="F36" s="13" cm="1">
        <f t="array" ref="F36">_FV(Table8[[#This Row],[Name]],"Volume")</f>
        <v>5015125</v>
      </c>
      <c r="G36" s="5" cm="1">
        <f t="array" ref="G36">_FV(Table8[[#This Row],[Name]],"Market cap",TRUE)/1000000</f>
        <v>673.53470000000004</v>
      </c>
      <c r="H36" s="3" cm="1">
        <f t="array" ref="H36">_FV(Table8[[#This Row],[Name]],"52 week high",TRUE)</f>
        <v>2.0299999999999998</v>
      </c>
      <c r="I36" s="3" cm="1">
        <f t="array" ref="I36">_FV(Table8[[#This Row],[Name]],"52 week low",TRUE)</f>
        <v>0.55000000000000004</v>
      </c>
      <c r="J36" s="13" cm="1">
        <f t="array" ref="J36">_FV(Table8[[#This Row],[Name]],"Shares outstanding",TRUE)/1000000</f>
        <v>675.95709999999997</v>
      </c>
      <c r="K36" s="1">
        <v>1.39</v>
      </c>
      <c r="L36" s="11">
        <f>(Table8[[#This Row],[Price]]-Table8[[#This Row],[2020 Peak]])/Table8[[#This Row],[2020 Peak]]</f>
        <v>-0.23741007194244595</v>
      </c>
      <c r="M36" s="3"/>
    </row>
    <row r="37" spans="2:13" x14ac:dyDescent="0.25">
      <c r="B37" s="1" t="e" vm="54">
        <v>#VALUE!</v>
      </c>
      <c r="C37" s="3">
        <f t="shared" si="0"/>
        <v>9.65</v>
      </c>
      <c r="D37" s="16" cm="1">
        <f t="array" ref="D37">_FV(Table8[[#This Row],[Name]],"Change")</f>
        <v>0.14000000000000001</v>
      </c>
      <c r="E37" s="12" cm="1">
        <f t="array" ref="E37">_FV(Table8[[#This Row],[Name]],"Change (%)",TRUE)</f>
        <v>1.4721E-2</v>
      </c>
      <c r="F37" s="13" cm="1">
        <f t="array" ref="F37">_FV(Table8[[#This Row],[Name]],"Volume")</f>
        <v>1637950</v>
      </c>
      <c r="G37" s="5" cm="1">
        <f t="array" ref="G37">_FV(Table8[[#This Row],[Name]],"Market cap",TRUE)/1000000</f>
        <v>1587.5340000000001</v>
      </c>
      <c r="H37" s="3" cm="1">
        <f t="array" ref="H37">_FV(Table8[[#This Row],[Name]],"52 week high",TRUE)</f>
        <v>9.65</v>
      </c>
      <c r="I37" s="3" cm="1">
        <f t="array" ref="I37">_FV(Table8[[#This Row],[Name]],"52 week low",TRUE)</f>
        <v>2.97</v>
      </c>
      <c r="J37" s="13" cm="1">
        <f t="array" ref="J37">_FV(Table8[[#This Row],[Name]],"Shares outstanding",TRUE)/1000000</f>
        <v>167.5335</v>
      </c>
      <c r="K37" s="1">
        <v>8.85</v>
      </c>
      <c r="L37" s="11">
        <f>(Table8[[#This Row],[Price]]-Table8[[#This Row],[2020 Peak]])/Table8[[#This Row],[2020 Peak]]</f>
        <v>9.0395480225988784E-2</v>
      </c>
      <c r="M37" s="3"/>
    </row>
    <row r="38" spans="2:13" x14ac:dyDescent="0.25">
      <c r="B38" s="1" t="e" vm="58">
        <v>#VALUE!</v>
      </c>
      <c r="C38" s="3">
        <f t="shared" si="0"/>
        <v>1.29</v>
      </c>
      <c r="D38" s="16" cm="1">
        <f t="array" ref="D38">_FV(Table8[[#This Row],[Name]],"Change")</f>
        <v>0.19</v>
      </c>
      <c r="E38" s="12" cm="1">
        <f t="array" ref="E38">_FV(Table8[[#This Row],[Name]],"Change (%)",TRUE)</f>
        <v>0.17272699999999999</v>
      </c>
      <c r="F38" s="13" cm="1">
        <f t="array" ref="F38">_FV(Table8[[#This Row],[Name]],"Volume")</f>
        <v>1271742</v>
      </c>
      <c r="G38" s="5" cm="1">
        <f t="array" ref="G38">_FV(Table8[[#This Row],[Name]],"Market cap",TRUE)/1000000</f>
        <v>126.8386</v>
      </c>
      <c r="H38" s="3" cm="1">
        <f t="array" ref="H38">_FV(Table8[[#This Row],[Name]],"52 week high",TRUE)</f>
        <v>6.95</v>
      </c>
      <c r="I38" s="3" cm="1">
        <f t="array" ref="I38">_FV(Table8[[#This Row],[Name]],"52 week low",TRUE)</f>
        <v>0.44</v>
      </c>
      <c r="J38" s="13" cm="1">
        <f t="array" ref="J38">_FV(Table8[[#This Row],[Name]],"Shares outstanding",TRUE)/1000000</f>
        <v>115.3078</v>
      </c>
      <c r="K38" s="1">
        <v>3.86</v>
      </c>
      <c r="L38" s="11">
        <f>(Table8[[#This Row],[Price]]-Table8[[#This Row],[2020 Peak]])/Table8[[#This Row],[2020 Peak]]</f>
        <v>-0.66580310880829019</v>
      </c>
      <c r="M38" s="3"/>
    </row>
    <row r="39" spans="2:13" x14ac:dyDescent="0.25">
      <c r="B39" s="1" t="e" vm="57">
        <v>#VALUE!</v>
      </c>
      <c r="C39" s="3">
        <f t="shared" si="0"/>
        <v>7.97</v>
      </c>
      <c r="D39" s="16" cm="1">
        <f t="array" ref="D39">_FV(Table8[[#This Row],[Name]],"Change")</f>
        <v>-0.08</v>
      </c>
      <c r="E39" s="12" cm="1">
        <f t="array" ref="E39">_FV(Table8[[#This Row],[Name]],"Change (%)",TRUE)</f>
        <v>-9.9380000000000007E-3</v>
      </c>
      <c r="F39" s="13" cm="1">
        <f t="array" ref="F39">_FV(Table8[[#This Row],[Name]],"Volume")</f>
        <v>140550</v>
      </c>
      <c r="G39" s="5" cm="1">
        <f t="array" ref="G39">_FV(Table8[[#This Row],[Name]],"Market cap",TRUE)/1000000</f>
        <v>469.94389999999999</v>
      </c>
      <c r="H39" s="3" cm="1">
        <f t="array" ref="H39">_FV(Table8[[#This Row],[Name]],"52 week high",TRUE)</f>
        <v>9.9</v>
      </c>
      <c r="I39" s="3" cm="1">
        <f t="array" ref="I39">_FV(Table8[[#This Row],[Name]],"52 week low",TRUE)</f>
        <v>4.0199999999999996</v>
      </c>
      <c r="J39" s="13" cm="1">
        <f t="array" ref="J39">_FV(Table8[[#This Row],[Name]],"Shares outstanding",TRUE)/1000000</f>
        <v>58.378129999999999</v>
      </c>
      <c r="K39" s="1">
        <v>8.81</v>
      </c>
      <c r="L39" s="11">
        <f>(Table8[[#This Row],[Price]]-Table8[[#This Row],[2020 Peak]])/Table8[[#This Row],[2020 Peak]]</f>
        <v>-9.5346197502837765E-2</v>
      </c>
      <c r="M39" s="3"/>
    </row>
    <row r="40" spans="2:13" x14ac:dyDescent="0.25">
      <c r="B40" s="1" t="e" vm="40">
        <v>#VALUE!</v>
      </c>
      <c r="C40" s="3">
        <f t="shared" si="0"/>
        <v>9.51</v>
      </c>
      <c r="D40" s="16" cm="1">
        <f t="array" ref="D40">_FV(Table8[[#This Row],[Name]],"Change")</f>
        <v>-0.26</v>
      </c>
      <c r="E40" s="12" cm="1">
        <f t="array" ref="E40">_FV(Table8[[#This Row],[Name]],"Change (%)",TRUE)</f>
        <v>-2.6612E-2</v>
      </c>
      <c r="F40" s="13" cm="1">
        <f t="array" ref="F40">_FV(Table8[[#This Row],[Name]],"Volume")</f>
        <v>1027871</v>
      </c>
      <c r="G40" s="5" cm="1">
        <f t="array" ref="G40">_FV(Table8[[#This Row],[Name]],"Market cap",TRUE)/1000000</f>
        <v>1348.1859999999999</v>
      </c>
      <c r="H40" s="3" cm="1">
        <f t="array" ref="H40">_FV(Table8[[#This Row],[Name]],"52 week high",TRUE)</f>
        <v>11.06</v>
      </c>
      <c r="I40" s="3" cm="1">
        <f t="array" ref="I40">_FV(Table8[[#This Row],[Name]],"52 week low",TRUE)</f>
        <v>3.96</v>
      </c>
      <c r="J40" s="13" cm="1">
        <f t="array" ref="J40">_FV(Table8[[#This Row],[Name]],"Shares outstanding",TRUE)/1000000</f>
        <v>137.9924</v>
      </c>
      <c r="K40" s="1">
        <v>10.79</v>
      </c>
      <c r="L40" s="11">
        <f>(Table8[[#This Row],[Price]]-Table8[[#This Row],[2020 Peak]])/Table8[[#This Row],[2020 Peak]]</f>
        <v>-0.11862835959221496</v>
      </c>
      <c r="M40" s="3"/>
    </row>
    <row r="41" spans="2:13" x14ac:dyDescent="0.25">
      <c r="B41" s="1" t="s">
        <v>43</v>
      </c>
      <c r="L41" s="3"/>
      <c r="M41" s="3"/>
    </row>
  </sheetData>
  <phoneticPr fontId="7" type="noConversion"/>
  <conditionalFormatting sqref="E31:E40 E5:E9 E12:E18 E21:E27">
    <cfRule type="dataBar" priority="12">
      <dataBar>
        <cfvo type="min"/>
        <cfvo type="max"/>
        <color rgb="FF638EC6"/>
      </dataBar>
      <extLst>
        <ext xmlns:x14="http://schemas.microsoft.com/office/spreadsheetml/2009/9/main" uri="{B025F937-C7B1-47D3-B67F-A62EFF666E3E}">
          <x14:id>{999B27B8-1791-444D-BB99-1200D96B51CF}</x14:id>
        </ext>
      </extLst>
    </cfRule>
  </conditionalFormatting>
  <conditionalFormatting sqref="L31:L40 L12:L18 L21:L27 L5:O9">
    <cfRule type="dataBar" priority="17">
      <dataBar>
        <cfvo type="min"/>
        <cfvo type="max"/>
        <color rgb="FF638EC6"/>
      </dataBar>
      <extLst>
        <ext xmlns:x14="http://schemas.microsoft.com/office/spreadsheetml/2009/9/main" uri="{B025F937-C7B1-47D3-B67F-A62EFF666E3E}">
          <x14:id>{5FA4F3A3-0B56-466B-BF53-DFA0F8D5BCEF}</x14:id>
        </ext>
      </extLst>
    </cfRule>
  </conditionalFormatting>
  <pageMargins left="0.7" right="0.7" top="0.75" bottom="0.75" header="0.3" footer="0.3"/>
  <pageSetup orientation="portrait" horizontalDpi="0" verticalDpi="0" r:id="rId1"/>
  <tableParts count="5">
    <tablePart r:id="rId2"/>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999B27B8-1791-444D-BB99-1200D96B51CF}">
            <x14:dataBar minLength="0" maxLength="100" border="1" negativeBarBorderColorSameAsPositive="0">
              <x14:cfvo type="autoMin"/>
              <x14:cfvo type="autoMax"/>
              <x14:borderColor rgb="FF638EC6"/>
              <x14:negativeFillColor rgb="FFFF0000"/>
              <x14:negativeBorderColor rgb="FFFF0000"/>
              <x14:axisColor rgb="FF000000"/>
            </x14:dataBar>
          </x14:cfRule>
          <xm:sqref>E31:E40 E5:E9 E12:E18 E21:E27</xm:sqref>
        </x14:conditionalFormatting>
        <x14:conditionalFormatting xmlns:xm="http://schemas.microsoft.com/office/excel/2006/main">
          <x14:cfRule type="dataBar" id="{5FA4F3A3-0B56-466B-BF53-DFA0F8D5BCEF}">
            <x14:dataBar minLength="0" maxLength="100" border="1" negativeBarBorderColorSameAsPositive="0">
              <x14:cfvo type="autoMin"/>
              <x14:cfvo type="autoMax"/>
              <x14:borderColor rgb="FF638EC6"/>
              <x14:negativeFillColor rgb="FFFF0000"/>
              <x14:negativeBorderColor rgb="FFFF0000"/>
              <x14:axisColor rgb="FF000000"/>
            </x14:dataBar>
          </x14:cfRule>
          <xm:sqref>L31:L40 L12:L18 L21:L27 L5:O9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E8C32-BE93-42BC-A343-8425CF97EDB8}">
  <sheetPr codeName="Sheet13">
    <tabColor rgb="FFFF0000"/>
  </sheetPr>
  <dimension ref="A1:AL30"/>
  <sheetViews>
    <sheetView workbookViewId="0">
      <selection activeCell="A2" sqref="A2:AL30"/>
    </sheetView>
  </sheetViews>
  <sheetFormatPr defaultRowHeight="15" x14ac:dyDescent="0.25"/>
  <cols>
    <col min="1" max="1" width="39.42578125" bestFit="1" customWidth="1"/>
    <col min="2" max="2" width="15.85546875" bestFit="1" customWidth="1"/>
    <col min="3" max="3" width="7.5703125" customWidth="1"/>
    <col min="4" max="4" width="18.85546875" customWidth="1"/>
    <col min="5" max="5" width="14.28515625" bestFit="1" customWidth="1"/>
    <col min="6" max="6" width="9.7109375" customWidth="1"/>
    <col min="7" max="7" width="13.140625" customWidth="1"/>
    <col min="8" max="8" width="11.5703125" bestFit="1" customWidth="1"/>
    <col min="9" max="9" width="14.7109375" customWidth="1"/>
    <col min="10" max="10" width="14.140625" customWidth="1"/>
    <col min="11" max="12" width="12.7109375" customWidth="1"/>
    <col min="13" max="13" width="20.85546875" customWidth="1"/>
    <col min="14" max="14" width="24.85546875" customWidth="1"/>
    <col min="15" max="16" width="12.5703125" customWidth="1"/>
    <col min="17" max="17" width="21.42578125" customWidth="1"/>
    <col min="18" max="18" width="13.85546875" customWidth="1"/>
    <col min="19" max="19" width="11.42578125" customWidth="1"/>
    <col min="20" max="20" width="13.5703125" customWidth="1"/>
    <col min="21" max="21" width="12" bestFit="1" customWidth="1"/>
    <col min="22" max="22" width="20.7109375" customWidth="1"/>
    <col min="23" max="23" width="15.85546875" customWidth="1"/>
    <col min="24" max="24" width="20.7109375" customWidth="1"/>
    <col min="25" max="25" width="14.28515625" bestFit="1" customWidth="1"/>
    <col min="26" max="26" width="13.85546875" customWidth="1"/>
    <col min="27" max="27" width="10.5703125" customWidth="1"/>
    <col min="28" max="28" width="10.7109375" customWidth="1"/>
    <col min="29" max="29" width="10.5703125" customWidth="1"/>
    <col min="30" max="30" width="17" customWidth="1"/>
    <col min="31" max="31" width="13.28515625" customWidth="1"/>
    <col min="32" max="32" width="13.42578125" customWidth="1"/>
    <col min="33" max="33" width="19" customWidth="1"/>
    <col min="34" max="34" width="14.85546875" customWidth="1"/>
    <col min="35" max="35" width="12.28515625" customWidth="1"/>
    <col min="36" max="36" width="13.7109375" customWidth="1"/>
    <col min="37" max="37" width="13.85546875" customWidth="1"/>
    <col min="38" max="38" width="12.85546875" bestFit="1" customWidth="1"/>
  </cols>
  <sheetData>
    <row r="1" spans="1:38" ht="15.75" thickBot="1" x14ac:dyDescent="0.3">
      <c r="A1" s="56" t="s">
        <v>75</v>
      </c>
      <c r="B1" s="56" t="s">
        <v>95</v>
      </c>
      <c r="C1" s="56" t="s">
        <v>10</v>
      </c>
      <c r="D1" s="56" t="s">
        <v>45</v>
      </c>
      <c r="E1" s="56" t="s">
        <v>78</v>
      </c>
      <c r="F1" s="56" t="s">
        <v>51</v>
      </c>
      <c r="G1" s="56" t="s">
        <v>49</v>
      </c>
      <c r="H1" s="56" t="s">
        <v>121</v>
      </c>
      <c r="I1" s="56" t="s">
        <v>47</v>
      </c>
      <c r="J1" s="56" t="s">
        <v>48</v>
      </c>
      <c r="K1" s="56" t="s">
        <v>11</v>
      </c>
      <c r="L1" s="56" t="s">
        <v>12</v>
      </c>
      <c r="M1" s="56" t="s">
        <v>57</v>
      </c>
      <c r="N1" s="56" t="s">
        <v>60</v>
      </c>
      <c r="O1" s="56" t="s">
        <v>62</v>
      </c>
      <c r="P1" s="56" t="s">
        <v>61</v>
      </c>
      <c r="Q1" s="56" t="s">
        <v>63</v>
      </c>
      <c r="R1" s="56" t="s">
        <v>68</v>
      </c>
      <c r="S1" s="56" t="s">
        <v>74</v>
      </c>
      <c r="T1" s="56" t="s">
        <v>70</v>
      </c>
      <c r="U1" s="56" t="s">
        <v>77</v>
      </c>
      <c r="V1" s="56" t="s">
        <v>76</v>
      </c>
      <c r="W1" s="56" t="s">
        <v>72</v>
      </c>
      <c r="X1" s="56" t="s">
        <v>73</v>
      </c>
      <c r="Y1" s="56" t="s">
        <v>58</v>
      </c>
      <c r="Z1" s="56" t="s">
        <v>79</v>
      </c>
      <c r="AA1" s="56" t="s">
        <v>84</v>
      </c>
      <c r="AB1" s="56" t="s">
        <v>90</v>
      </c>
      <c r="AC1" s="56" t="s">
        <v>85</v>
      </c>
      <c r="AD1" s="56" t="s">
        <v>86</v>
      </c>
      <c r="AE1" s="56" t="s">
        <v>87</v>
      </c>
      <c r="AF1" s="56" t="s">
        <v>88</v>
      </c>
      <c r="AG1" s="56" t="s">
        <v>89</v>
      </c>
      <c r="AH1" s="56" t="s">
        <v>14</v>
      </c>
      <c r="AI1" s="56" t="s">
        <v>15</v>
      </c>
      <c r="AJ1" s="56" t="s">
        <v>17</v>
      </c>
      <c r="AK1" s="56" t="s">
        <v>18</v>
      </c>
      <c r="AL1" s="56" t="s">
        <v>264</v>
      </c>
    </row>
    <row r="2" spans="1:38" x14ac:dyDescent="0.25">
      <c r="A2" t="e" vm="61">
        <v>#VALUE!</v>
      </c>
      <c r="B2" t="s">
        <v>96</v>
      </c>
      <c r="C2" s="46">
        <v>82.54</v>
      </c>
      <c r="D2" s="34">
        <v>46294.3</v>
      </c>
      <c r="E2" s="34">
        <v>560871092.80348921</v>
      </c>
      <c r="F2">
        <v>2.79</v>
      </c>
      <c r="G2" s="57">
        <v>3.4984000000000001E-2</v>
      </c>
      <c r="H2" s="34">
        <v>194244</v>
      </c>
      <c r="I2" s="46">
        <v>82.54</v>
      </c>
      <c r="J2" s="46">
        <v>40.01</v>
      </c>
      <c r="K2" s="34">
        <v>5101000</v>
      </c>
      <c r="L2" s="34">
        <v>6004000</v>
      </c>
      <c r="M2" s="34">
        <v>6400000</v>
      </c>
      <c r="N2" s="34">
        <v>6400000</v>
      </c>
      <c r="O2" s="34">
        <v>909</v>
      </c>
      <c r="P2" s="34">
        <v>966</v>
      </c>
      <c r="Q2" s="34">
        <v>975</v>
      </c>
      <c r="R2" s="34">
        <v>612.15000000000009</v>
      </c>
      <c r="S2" s="53">
        <v>0.31240998015310467</v>
      </c>
      <c r="T2">
        <v>3917760000.0000005</v>
      </c>
      <c r="U2">
        <v>6.9851344636380732</v>
      </c>
      <c r="V2" s="46">
        <v>65.400000000000006</v>
      </c>
      <c r="W2" s="35">
        <v>1400000</v>
      </c>
      <c r="X2" s="35">
        <v>857010000.00000012</v>
      </c>
      <c r="Y2" s="34">
        <v>4774770000.000001</v>
      </c>
      <c r="Z2" s="54">
        <v>11.816522706852895</v>
      </c>
      <c r="AA2" s="34">
        <v>13.09</v>
      </c>
      <c r="AB2" s="54">
        <v>3.82</v>
      </c>
      <c r="AC2" s="34">
        <v>21.607329842931939</v>
      </c>
      <c r="AD2" s="53">
        <v>0.31978319783197839</v>
      </c>
      <c r="AE2" s="53">
        <v>9.4E-2</v>
      </c>
      <c r="AF2" s="53">
        <v>0.1757</v>
      </c>
      <c r="AG2" s="53">
        <v>0.28799999999999998</v>
      </c>
      <c r="AH2" s="54">
        <v>2.629769392033543</v>
      </c>
      <c r="AI2" s="54">
        <v>1.0398322851153039</v>
      </c>
      <c r="AJ2" s="54">
        <v>0.86619981325863682</v>
      </c>
      <c r="AK2" s="54">
        <v>0.46415169860409267</v>
      </c>
      <c r="AL2" s="54">
        <v>76.067219167321298</v>
      </c>
    </row>
    <row r="3" spans="1:38" x14ac:dyDescent="0.25">
      <c r="A3" t="e" vm="62">
        <v>#VALUE!</v>
      </c>
      <c r="B3" t="s">
        <v>96</v>
      </c>
      <c r="C3" s="46">
        <v>53.19</v>
      </c>
      <c r="D3" s="34">
        <v>14341.74</v>
      </c>
      <c r="E3" s="34">
        <v>269632261.70332772</v>
      </c>
      <c r="F3">
        <v>3.08</v>
      </c>
      <c r="G3" s="57">
        <v>6.1464999999999999E-2</v>
      </c>
      <c r="H3" s="34">
        <v>2349842</v>
      </c>
      <c r="I3" s="46">
        <v>67.87</v>
      </c>
      <c r="J3" s="46">
        <v>25.67</v>
      </c>
      <c r="K3" s="34">
        <v>723700</v>
      </c>
      <c r="L3" s="34">
        <v>974615</v>
      </c>
      <c r="M3" s="34">
        <v>1505000</v>
      </c>
      <c r="N3" s="34">
        <v>1470000</v>
      </c>
      <c r="O3" s="34">
        <v>685</v>
      </c>
      <c r="P3" s="34">
        <v>564</v>
      </c>
      <c r="Q3" s="34">
        <v>830</v>
      </c>
      <c r="R3" s="34">
        <v>757.15000000000009</v>
      </c>
      <c r="S3" s="53">
        <v>0.38641054720725831</v>
      </c>
      <c r="T3">
        <v>1113010500.0000002</v>
      </c>
      <c r="U3">
        <v>14341.74</v>
      </c>
      <c r="V3" s="46">
        <v>20.47</v>
      </c>
      <c r="W3" s="35">
        <v>0</v>
      </c>
      <c r="X3" s="35">
        <v>0</v>
      </c>
      <c r="Y3" s="34">
        <v>1113010500.0000002</v>
      </c>
      <c r="Z3" s="54">
        <v>12.885538815671548</v>
      </c>
      <c r="AA3" s="34">
        <v>18.649999999999999</v>
      </c>
      <c r="AB3" s="54">
        <v>2.67</v>
      </c>
      <c r="AC3" s="34">
        <v>19.921348314606742</v>
      </c>
      <c r="AD3" s="53">
        <v>0.83999999999999986</v>
      </c>
      <c r="AE3" s="53">
        <v>0.26250000000000001</v>
      </c>
      <c r="AF3" s="53">
        <v>0.36370000000000002</v>
      </c>
      <c r="AG3" s="53">
        <v>0.40589999999999998</v>
      </c>
      <c r="AH3" s="54">
        <v>1.9064748201438848</v>
      </c>
      <c r="AI3" s="54">
        <v>1.6954436450839327</v>
      </c>
      <c r="AJ3" s="54">
        <v>0.40781507980187121</v>
      </c>
      <c r="AK3" s="54">
        <v>0.28967943706020327</v>
      </c>
      <c r="AL3" s="54">
        <v>70.416270400711241</v>
      </c>
    </row>
    <row r="4" spans="1:38" x14ac:dyDescent="0.25">
      <c r="A4" t="e" vm="63">
        <v>#VALUE!</v>
      </c>
      <c r="B4" t="s">
        <v>96</v>
      </c>
      <c r="C4" s="46">
        <v>71.84</v>
      </c>
      <c r="D4" s="34">
        <v>16429.86</v>
      </c>
      <c r="E4" s="34">
        <v>228700723.83073497</v>
      </c>
      <c r="F4">
        <v>3.33</v>
      </c>
      <c r="G4" s="57">
        <v>4.8605999999999996E-2</v>
      </c>
      <c r="H4" s="34">
        <v>746635</v>
      </c>
      <c r="I4" s="46">
        <v>86.39</v>
      </c>
      <c r="J4" s="46">
        <v>43.25</v>
      </c>
      <c r="K4" s="34">
        <v>1626669</v>
      </c>
      <c r="L4" s="34">
        <v>1782147</v>
      </c>
      <c r="M4" s="34">
        <v>2000000</v>
      </c>
      <c r="N4" s="34">
        <v>1875000</v>
      </c>
      <c r="O4" s="34">
        <v>877</v>
      </c>
      <c r="P4" s="34">
        <v>938</v>
      </c>
      <c r="Q4" s="34">
        <v>1000</v>
      </c>
      <c r="R4" s="34">
        <v>587.15000000000009</v>
      </c>
      <c r="S4" s="53">
        <v>0.299651261695492</v>
      </c>
      <c r="T4">
        <v>1100906250.0000002</v>
      </c>
      <c r="U4">
        <v>16429.86</v>
      </c>
      <c r="V4" s="46">
        <v>21.585000000000001</v>
      </c>
      <c r="W4" s="35">
        <v>0</v>
      </c>
      <c r="X4" s="35">
        <v>0</v>
      </c>
      <c r="Y4" s="34">
        <v>1100906250.0000002</v>
      </c>
      <c r="Z4" s="54">
        <v>14.923941071276504</v>
      </c>
      <c r="AA4" s="34">
        <v>39.99</v>
      </c>
      <c r="AB4" s="54">
        <v>2</v>
      </c>
      <c r="AC4" s="34">
        <v>35.92</v>
      </c>
      <c r="AD4" s="53">
        <v>0.11160714285714285</v>
      </c>
      <c r="AE4" s="53">
        <v>5.6899999999999999E-2</v>
      </c>
      <c r="AF4" s="53">
        <v>9.7900000000000001E-2</v>
      </c>
      <c r="AG4" s="53">
        <v>0.18790000000000001</v>
      </c>
      <c r="AH4" s="54">
        <v>1.5386597938144331</v>
      </c>
      <c r="AI4" s="54">
        <v>0.41494845360824745</v>
      </c>
      <c r="AJ4" s="54">
        <v>0.71948356807511737</v>
      </c>
      <c r="AK4" s="54">
        <v>0.41843003412969282</v>
      </c>
      <c r="AL4" s="54">
        <v>74.853145400593462</v>
      </c>
    </row>
    <row r="5" spans="1:38" x14ac:dyDescent="0.25">
      <c r="A5" t="e" vm="64">
        <v>#VALUE!</v>
      </c>
      <c r="B5" t="s">
        <v>96</v>
      </c>
      <c r="C5" s="46">
        <v>33.79</v>
      </c>
      <c r="D5" s="34">
        <v>55888.41</v>
      </c>
      <c r="E5" s="34">
        <v>1653992601.3613496</v>
      </c>
      <c r="F5">
        <v>2.31</v>
      </c>
      <c r="G5" s="57">
        <v>7.3380000000000001E-2</v>
      </c>
      <c r="H5" s="34">
        <v>4848893</v>
      </c>
      <c r="I5" s="46">
        <v>33.79</v>
      </c>
      <c r="J5" s="46">
        <v>15.72</v>
      </c>
      <c r="K5" s="34">
        <v>4527000</v>
      </c>
      <c r="L5" s="34">
        <v>5465000</v>
      </c>
      <c r="M5" s="34">
        <v>5000000</v>
      </c>
      <c r="N5" s="34">
        <v>5000000</v>
      </c>
      <c r="O5" s="34">
        <v>806</v>
      </c>
      <c r="P5" s="34">
        <v>894</v>
      </c>
      <c r="Q5" s="34">
        <v>945</v>
      </c>
      <c r="R5" s="34">
        <v>642.15000000000009</v>
      </c>
      <c r="S5" s="53">
        <v>0.3277204423022399</v>
      </c>
      <c r="T5">
        <v>3210750000.0000005</v>
      </c>
      <c r="U5">
        <v>55888.41</v>
      </c>
      <c r="V5" s="46">
        <v>71</v>
      </c>
      <c r="W5" s="35">
        <v>470000000</v>
      </c>
      <c r="X5" s="35">
        <v>-68620000.000000164</v>
      </c>
      <c r="Y5" s="34">
        <v>3142130000.0000005</v>
      </c>
      <c r="Z5" s="54">
        <v>17.406652651249704</v>
      </c>
      <c r="AA5" s="34">
        <v>41.03</v>
      </c>
      <c r="AB5" s="54">
        <v>2.2599999999999998</v>
      </c>
      <c r="AC5" s="34">
        <v>14.95132743362832</v>
      </c>
      <c r="AD5" s="53">
        <v>0.16129032258064535</v>
      </c>
      <c r="AE5" s="53">
        <v>0.11840000000000001</v>
      </c>
      <c r="AF5" s="53">
        <v>0.27350000000000002</v>
      </c>
      <c r="AG5" s="53">
        <v>0.40849999999999997</v>
      </c>
      <c r="AH5" s="54">
        <v>2.8985690235690234</v>
      </c>
      <c r="AI5" s="54">
        <v>1.3947811447811447</v>
      </c>
      <c r="AJ5" s="54">
        <v>1.0712952594251586</v>
      </c>
      <c r="AK5" s="54">
        <v>0.51721030816363311</v>
      </c>
      <c r="AL5" s="54">
        <v>58.549534820824881</v>
      </c>
    </row>
    <row r="6" spans="1:38" x14ac:dyDescent="0.25">
      <c r="A6" t="e" vm="65">
        <v>#VALUE!</v>
      </c>
      <c r="B6" t="s">
        <v>96</v>
      </c>
      <c r="C6" s="46">
        <v>168.99</v>
      </c>
      <c r="D6" s="34">
        <v>30099.57</v>
      </c>
      <c r="E6" s="34">
        <v>178114503.81679389</v>
      </c>
      <c r="F6">
        <v>9.84</v>
      </c>
      <c r="G6" s="57">
        <v>6.1828000000000001E-2</v>
      </c>
      <c r="H6" s="34">
        <v>532490</v>
      </c>
      <c r="I6" s="46">
        <v>168.99</v>
      </c>
      <c r="J6" s="46">
        <v>93.24</v>
      </c>
      <c r="K6" s="34">
        <v>447902</v>
      </c>
      <c r="L6" s="34">
        <v>516438</v>
      </c>
      <c r="M6" s="34">
        <v>565000</v>
      </c>
      <c r="N6" s="34">
        <v>565000</v>
      </c>
      <c r="O6" s="34">
        <v>239</v>
      </c>
      <c r="P6" s="34">
        <v>287</v>
      </c>
      <c r="Q6" s="34">
        <v>344.64016736401675</v>
      </c>
      <c r="R6" s="34">
        <v>1242.5098326359835</v>
      </c>
      <c r="S6" s="53">
        <v>0.63411332541671972</v>
      </c>
      <c r="T6">
        <v>702018055.4393307</v>
      </c>
      <c r="U6">
        <v>30099.57</v>
      </c>
      <c r="V6" s="46">
        <v>0</v>
      </c>
      <c r="W6" s="35">
        <v>0</v>
      </c>
      <c r="X6" s="35">
        <v>0</v>
      </c>
      <c r="Y6" s="34">
        <v>702018055.4393307</v>
      </c>
      <c r="Z6" s="54">
        <v>42.875777576921948</v>
      </c>
      <c r="AA6" s="34">
        <v>96.84</v>
      </c>
      <c r="AB6" s="54">
        <v>1.83</v>
      </c>
      <c r="AC6" s="34">
        <v>92.344262295081975</v>
      </c>
      <c r="AD6" s="53">
        <v>0.25051851851851853</v>
      </c>
      <c r="AE6" s="53">
        <v>6.7400000000000002E-2</v>
      </c>
      <c r="AF6" s="53">
        <v>7.0999999999999994E-2</v>
      </c>
      <c r="AG6" s="53">
        <v>0.40770000000000001</v>
      </c>
      <c r="AH6" s="54">
        <v>5.2641509433962268</v>
      </c>
      <c r="AI6" s="54">
        <v>2.4905660377358489</v>
      </c>
      <c r="AJ6" s="54">
        <v>4.3065981825365467E-2</v>
      </c>
      <c r="AK6" s="54">
        <v>4.1280060594584361E-2</v>
      </c>
      <c r="AL6" s="54">
        <v>71.8</v>
      </c>
    </row>
    <row r="7" spans="1:38" x14ac:dyDescent="0.25">
      <c r="A7" t="e" vm="66">
        <v>#VALUE!</v>
      </c>
      <c r="B7" t="s">
        <v>97</v>
      </c>
      <c r="C7" s="46">
        <v>9.77</v>
      </c>
      <c r="D7" s="34">
        <v>2718.4189999999999</v>
      </c>
      <c r="E7" s="34">
        <v>278241453.42886388</v>
      </c>
      <c r="F7">
        <v>0.5</v>
      </c>
      <c r="G7" s="57">
        <v>5.3936999999999999E-2</v>
      </c>
      <c r="H7" s="34">
        <v>1941131</v>
      </c>
      <c r="I7" s="46">
        <v>13</v>
      </c>
      <c r="J7" s="46">
        <v>5.52</v>
      </c>
      <c r="K7" s="34">
        <v>730000</v>
      </c>
      <c r="L7" s="34">
        <v>783000</v>
      </c>
      <c r="M7" s="34">
        <v>805000</v>
      </c>
      <c r="N7" s="34">
        <v>805000</v>
      </c>
      <c r="O7" s="34">
        <v>754</v>
      </c>
      <c r="P7" s="34">
        <v>713</v>
      </c>
      <c r="Q7" s="34">
        <v>845</v>
      </c>
      <c r="R7" s="34">
        <v>742.15000000000009</v>
      </c>
      <c r="S7" s="53">
        <v>0.3787553161326907</v>
      </c>
      <c r="T7">
        <v>597430750.00000012</v>
      </c>
      <c r="U7">
        <v>2718.4189999999999</v>
      </c>
      <c r="V7" s="46">
        <v>11.086</v>
      </c>
      <c r="W7" s="35">
        <v>85000000</v>
      </c>
      <c r="X7" s="35">
        <v>8160000.0000000075</v>
      </c>
      <c r="Y7" s="34">
        <v>605590750.00000012</v>
      </c>
      <c r="Z7" s="54">
        <v>4.5501825943843697</v>
      </c>
      <c r="AA7" s="34">
        <v>20.81</v>
      </c>
      <c r="AB7" s="54">
        <v>-0.32</v>
      </c>
      <c r="AC7" s="34">
        <v>17.22</v>
      </c>
      <c r="AD7" s="53">
        <v>8.3333333333333412E-2</v>
      </c>
      <c r="AE7" s="53">
        <v>-3.3799999999999997E-2</v>
      </c>
      <c r="AF7" s="53">
        <v>-4.4400000000000002E-2</v>
      </c>
      <c r="AG7" s="53">
        <v>-6.8000000000000005E-2</v>
      </c>
      <c r="AH7" s="54">
        <v>3.8081632653061224</v>
      </c>
      <c r="AI7" s="54">
        <v>0.17551020408163265</v>
      </c>
      <c r="AJ7" s="54">
        <v>0.30784123910939015</v>
      </c>
      <c r="AK7" s="54">
        <v>0.23538119911176905</v>
      </c>
      <c r="AL7" s="54">
        <v>73.357142857142861</v>
      </c>
    </row>
    <row r="8" spans="1:38" x14ac:dyDescent="0.25">
      <c r="A8" t="e" vm="67">
        <v>#VALUE!</v>
      </c>
      <c r="B8" t="s">
        <v>97</v>
      </c>
      <c r="C8" s="46">
        <v>22.71</v>
      </c>
      <c r="D8" s="34">
        <v>8714.4380000000001</v>
      </c>
      <c r="E8" s="34">
        <v>383726904.44738001</v>
      </c>
      <c r="F8">
        <v>1.23</v>
      </c>
      <c r="G8" s="57">
        <v>5.7263000000000001E-2</v>
      </c>
      <c r="H8" s="34">
        <v>3836377</v>
      </c>
      <c r="I8" s="46">
        <v>23.85</v>
      </c>
      <c r="J8" s="46">
        <v>11.29</v>
      </c>
      <c r="K8" s="34">
        <v>3400000</v>
      </c>
      <c r="L8" s="34">
        <v>3281000</v>
      </c>
      <c r="M8" s="34">
        <v>3175000</v>
      </c>
      <c r="N8" s="34">
        <v>3175000</v>
      </c>
      <c r="O8" s="34">
        <v>976</v>
      </c>
      <c r="P8" s="34">
        <v>1162</v>
      </c>
      <c r="Q8" s="34">
        <v>1070</v>
      </c>
      <c r="R8" s="34">
        <v>517.15000000000009</v>
      </c>
      <c r="S8" s="53">
        <v>0.26392685001417643</v>
      </c>
      <c r="T8">
        <v>1641951250.0000002</v>
      </c>
      <c r="U8">
        <v>8714.4380000000001</v>
      </c>
      <c r="V8" s="46">
        <v>27</v>
      </c>
      <c r="W8" s="35">
        <v>0</v>
      </c>
      <c r="X8" s="35">
        <v>0</v>
      </c>
      <c r="Y8" s="34">
        <v>1641951250.0000002</v>
      </c>
      <c r="Z8" s="54">
        <v>5.3073670731698019</v>
      </c>
      <c r="AA8" s="34">
        <v>43.8</v>
      </c>
      <c r="AB8" s="54">
        <v>-0.03</v>
      </c>
      <c r="AC8" s="34">
        <v>20.45</v>
      </c>
      <c r="AD8" s="53">
        <v>4.129793510324474E-2</v>
      </c>
      <c r="AE8" s="53">
        <v>-1E-3</v>
      </c>
      <c r="AF8" s="53">
        <v>-2.5999999999999999E-3</v>
      </c>
      <c r="AG8" s="53">
        <v>-2E-3</v>
      </c>
      <c r="AH8" s="54">
        <v>1.3792623521224774</v>
      </c>
      <c r="AI8" s="54">
        <v>0.31732776617954073</v>
      </c>
      <c r="AJ8" s="54">
        <v>1.5996212121212121</v>
      </c>
      <c r="AK8" s="54">
        <v>0.61532857351012682</v>
      </c>
      <c r="AL8" s="54">
        <v>65.737609876543203</v>
      </c>
    </row>
    <row r="9" spans="1:38" x14ac:dyDescent="0.25">
      <c r="A9" t="e" vm="68">
        <v>#VALUE!</v>
      </c>
      <c r="B9" t="s">
        <v>97</v>
      </c>
      <c r="C9" s="46">
        <v>8.67</v>
      </c>
      <c r="D9" s="34">
        <v>9866.7880000000005</v>
      </c>
      <c r="E9" s="34">
        <v>1138037831.6032295</v>
      </c>
      <c r="F9">
        <v>0.81</v>
      </c>
      <c r="G9" s="57">
        <v>0.10305300000000001</v>
      </c>
      <c r="H9" s="34">
        <v>6089265</v>
      </c>
      <c r="I9" s="46">
        <v>8.67</v>
      </c>
      <c r="J9" s="46">
        <v>4</v>
      </c>
      <c r="K9" s="34">
        <v>2452398</v>
      </c>
      <c r="L9" s="34">
        <v>2507659</v>
      </c>
      <c r="M9" s="34">
        <v>2400000</v>
      </c>
      <c r="N9" s="34">
        <v>2400000</v>
      </c>
      <c r="O9" s="34">
        <v>965</v>
      </c>
      <c r="P9" s="34">
        <v>983</v>
      </c>
      <c r="Q9" s="34">
        <v>970</v>
      </c>
      <c r="R9" s="34">
        <v>617.15000000000009</v>
      </c>
      <c r="S9" s="53">
        <v>0.31496172384462723</v>
      </c>
      <c r="T9">
        <v>1481160000.0000002</v>
      </c>
      <c r="U9">
        <v>9866.7880000000005</v>
      </c>
      <c r="V9" s="46">
        <v>24.3</v>
      </c>
      <c r="W9" s="35">
        <v>0</v>
      </c>
      <c r="X9" s="35">
        <v>0</v>
      </c>
      <c r="Y9" s="34">
        <v>1481160000.0000002</v>
      </c>
      <c r="Z9" s="54">
        <v>6.6615274514569656</v>
      </c>
      <c r="AA9" s="34">
        <v>34.49</v>
      </c>
      <c r="AB9" s="54">
        <v>0.56999999999999995</v>
      </c>
      <c r="AC9" s="34">
        <v>15.210526315789474</v>
      </c>
      <c r="AD9" s="53">
        <v>0.20000000000000018</v>
      </c>
      <c r="AE9" s="53">
        <v>8.3900000000000002E-2</v>
      </c>
      <c r="AF9" s="53">
        <v>0.14630000000000001</v>
      </c>
      <c r="AG9" s="53">
        <v>0.20549999999999999</v>
      </c>
      <c r="AH9" s="54">
        <v>2.9626623376623376</v>
      </c>
      <c r="AI9" s="54">
        <v>0.93344155844155841</v>
      </c>
      <c r="AJ9" s="54">
        <v>0.70652378266591465</v>
      </c>
      <c r="AK9" s="54">
        <v>0.41405905685323929</v>
      </c>
      <c r="AL9" s="54">
        <v>70.135273267521782</v>
      </c>
    </row>
    <row r="10" spans="1:38" x14ac:dyDescent="0.25">
      <c r="A10" t="e" vm="69">
        <v>#VALUE!</v>
      </c>
      <c r="B10" t="s">
        <v>97</v>
      </c>
      <c r="C10" s="46">
        <v>6.36</v>
      </c>
      <c r="D10" s="34">
        <v>5926.1840000000002</v>
      </c>
      <c r="E10" s="34">
        <v>931789937.10691822</v>
      </c>
      <c r="F10">
        <v>0.6</v>
      </c>
      <c r="G10" s="57">
        <v>0.10416700000000001</v>
      </c>
      <c r="H10" s="34">
        <v>9496700</v>
      </c>
      <c r="I10" s="46">
        <v>6.51</v>
      </c>
      <c r="J10" s="46">
        <v>3.12</v>
      </c>
      <c r="K10" s="34">
        <v>953504</v>
      </c>
      <c r="L10" s="34">
        <v>980219</v>
      </c>
      <c r="M10" s="34">
        <v>1027500</v>
      </c>
      <c r="N10" s="34">
        <v>1027500</v>
      </c>
      <c r="O10" s="34">
        <v>758</v>
      </c>
      <c r="P10" s="34">
        <v>862</v>
      </c>
      <c r="Q10" s="34">
        <v>800</v>
      </c>
      <c r="R10" s="34">
        <v>787.15000000000009</v>
      </c>
      <c r="S10" s="53">
        <v>0.4017210093563936</v>
      </c>
      <c r="T10">
        <v>808796625.00000012</v>
      </c>
      <c r="U10">
        <v>5926.1840000000002</v>
      </c>
      <c r="V10" s="46">
        <v>5.82</v>
      </c>
      <c r="W10" s="35">
        <v>0</v>
      </c>
      <c r="X10" s="35">
        <v>0</v>
      </c>
      <c r="Y10" s="34">
        <v>808796625.00000012</v>
      </c>
      <c r="Z10" s="54">
        <v>7.3271621280566039</v>
      </c>
      <c r="AA10" s="34">
        <v>398.85</v>
      </c>
      <c r="AB10" s="54">
        <v>0.28999999999999998</v>
      </c>
      <c r="AC10" s="34">
        <v>21.931034482758623</v>
      </c>
      <c r="AD10" s="53">
        <v>0.81249999999999989</v>
      </c>
      <c r="AE10" s="53">
        <v>0.112</v>
      </c>
      <c r="AF10" s="53">
        <v>0.16289999999999999</v>
      </c>
      <c r="AG10" s="53">
        <v>0.25390000000000001</v>
      </c>
      <c r="AH10" s="54">
        <v>2.4666666666666668</v>
      </c>
      <c r="AI10" s="54">
        <v>0.8545454545454545</v>
      </c>
      <c r="AJ10" s="54">
        <v>0.34824120603015074</v>
      </c>
      <c r="AK10" s="54">
        <v>0.25829295564666416</v>
      </c>
      <c r="AL10" s="54">
        <v>45.354572834994777</v>
      </c>
    </row>
    <row r="11" spans="1:38" x14ac:dyDescent="0.25">
      <c r="A11" t="e" vm="70">
        <v>#VALUE!</v>
      </c>
      <c r="B11" t="s">
        <v>97</v>
      </c>
      <c r="C11" s="46">
        <v>5.77</v>
      </c>
      <c r="D11" s="34">
        <v>4979.0420000000004</v>
      </c>
      <c r="E11" s="34">
        <v>862918890.81455815</v>
      </c>
      <c r="F11">
        <v>0.53</v>
      </c>
      <c r="G11" s="57">
        <v>0.101145</v>
      </c>
      <c r="H11" s="34">
        <v>10153481</v>
      </c>
      <c r="I11" s="46">
        <v>6.56</v>
      </c>
      <c r="J11" s="46">
        <v>2.41</v>
      </c>
      <c r="K11" s="34">
        <v>1133635</v>
      </c>
      <c r="L11" s="34">
        <v>1024454</v>
      </c>
      <c r="M11" s="34">
        <v>990000</v>
      </c>
      <c r="N11" s="34">
        <v>990000</v>
      </c>
      <c r="O11" s="34">
        <v>971</v>
      </c>
      <c r="P11" s="34">
        <v>978</v>
      </c>
      <c r="Q11" s="34">
        <v>999</v>
      </c>
      <c r="R11" s="34">
        <v>588.15000000000009</v>
      </c>
      <c r="S11" s="53">
        <v>0.30016161043379647</v>
      </c>
      <c r="T11">
        <v>582268500.00000012</v>
      </c>
      <c r="U11">
        <v>4979.0420000000004</v>
      </c>
      <c r="V11" s="46">
        <v>7.8</v>
      </c>
      <c r="W11" s="35">
        <v>0</v>
      </c>
      <c r="X11" s="35">
        <v>0</v>
      </c>
      <c r="Y11" s="34">
        <v>582268500.00000012</v>
      </c>
      <c r="Z11" s="54">
        <v>8.5511100119618337</v>
      </c>
      <c r="AA11" s="34">
        <v>24.59</v>
      </c>
      <c r="AB11" s="54">
        <v>0.24</v>
      </c>
      <c r="AC11" s="34">
        <v>24.041666666666664</v>
      </c>
      <c r="AD11" s="53">
        <v>-0.10555555555555553</v>
      </c>
      <c r="AE11" s="53">
        <v>2.98E-2</v>
      </c>
      <c r="AF11" s="53">
        <v>5.5199999999999999E-2</v>
      </c>
      <c r="AG11" s="53">
        <v>0.1399</v>
      </c>
      <c r="AH11" s="54">
        <v>0.98432908912830563</v>
      </c>
      <c r="AI11" s="54">
        <v>0.38883447600391779</v>
      </c>
      <c r="AJ11" s="54">
        <v>0.6865802507168417</v>
      </c>
      <c r="AK11" s="54">
        <v>0.40708424661383696</v>
      </c>
      <c r="AL11" s="54">
        <v>66.715699999999998</v>
      </c>
    </row>
    <row r="12" spans="1:38" x14ac:dyDescent="0.25">
      <c r="A12" t="e" vm="71">
        <v>#VALUE!</v>
      </c>
      <c r="B12" t="s">
        <v>97</v>
      </c>
      <c r="C12" s="46">
        <v>11</v>
      </c>
      <c r="D12" s="34">
        <v>1864.374</v>
      </c>
      <c r="E12" s="34">
        <v>169488545.45454547</v>
      </c>
      <c r="F12">
        <v>0.9</v>
      </c>
      <c r="G12" s="57">
        <v>8.9108999999999994E-2</v>
      </c>
      <c r="H12" s="34">
        <v>983318</v>
      </c>
      <c r="I12" s="46">
        <v>18.295000000000002</v>
      </c>
      <c r="J12" s="46">
        <v>6.25</v>
      </c>
      <c r="K12" s="34">
        <v>367428</v>
      </c>
      <c r="L12" s="34">
        <v>351348</v>
      </c>
      <c r="M12" s="34">
        <v>345000</v>
      </c>
      <c r="N12" s="34">
        <v>345000</v>
      </c>
      <c r="O12" s="34">
        <v>745</v>
      </c>
      <c r="P12" s="34">
        <v>888</v>
      </c>
      <c r="Q12" s="34">
        <v>985</v>
      </c>
      <c r="R12" s="34">
        <v>602.15000000000009</v>
      </c>
      <c r="S12" s="53">
        <v>0.30730649277005961</v>
      </c>
      <c r="T12">
        <v>207741750.00000003</v>
      </c>
      <c r="U12">
        <v>1864.374</v>
      </c>
      <c r="V12" s="46">
        <v>3.6</v>
      </c>
      <c r="W12" s="35">
        <v>0</v>
      </c>
      <c r="X12" s="35">
        <v>0</v>
      </c>
      <c r="Y12" s="34">
        <v>207741750.00000003</v>
      </c>
      <c r="Z12" s="54">
        <v>8.9744791309402174</v>
      </c>
      <c r="AA12" s="34">
        <v>92.18</v>
      </c>
      <c r="AB12" s="54">
        <v>0.22</v>
      </c>
      <c r="AC12" s="34">
        <v>50</v>
      </c>
      <c r="AD12" s="53">
        <v>1.7247191011235956</v>
      </c>
      <c r="AE12" s="53">
        <v>2.5700000000000001E-2</v>
      </c>
      <c r="AF12" s="53">
        <v>4.41E-2</v>
      </c>
      <c r="AG12" s="53">
        <v>8.4400000000000003E-2</v>
      </c>
      <c r="AH12" s="54">
        <v>0.48837209302325579</v>
      </c>
      <c r="AI12" s="54">
        <v>0.17829457364341086</v>
      </c>
      <c r="AJ12" s="54">
        <v>0.64884696016771493</v>
      </c>
      <c r="AK12" s="54">
        <v>0.39351557533375714</v>
      </c>
      <c r="AL12" s="54">
        <v>81</v>
      </c>
    </row>
    <row r="13" spans="1:38" x14ac:dyDescent="0.25">
      <c r="A13" t="e" vm="72">
        <v>#VALUE!</v>
      </c>
      <c r="B13" t="s">
        <v>97</v>
      </c>
      <c r="C13" s="46">
        <v>6.93</v>
      </c>
      <c r="D13" s="34">
        <v>3453.4690000000001</v>
      </c>
      <c r="E13" s="34">
        <v>498336075.03607506</v>
      </c>
      <c r="F13">
        <v>0.59</v>
      </c>
      <c r="G13" s="57">
        <v>9.305999999999999E-2</v>
      </c>
      <c r="H13" s="34">
        <v>5396984</v>
      </c>
      <c r="I13" s="46">
        <v>7.7750000000000004</v>
      </c>
      <c r="J13" s="46">
        <v>3.34</v>
      </c>
      <c r="K13" s="34">
        <v>505000</v>
      </c>
      <c r="L13" s="34">
        <v>495500</v>
      </c>
      <c r="M13" s="34">
        <v>445000</v>
      </c>
      <c r="N13" s="34">
        <v>445000</v>
      </c>
      <c r="O13" s="34">
        <v>989</v>
      </c>
      <c r="P13" s="34">
        <v>951</v>
      </c>
      <c r="Q13" s="34">
        <v>1040</v>
      </c>
      <c r="R13" s="34">
        <v>547.15000000000009</v>
      </c>
      <c r="S13" s="53">
        <v>0.27923731216331166</v>
      </c>
      <c r="T13">
        <v>243481750.00000003</v>
      </c>
      <c r="U13">
        <v>3453.4690000000001</v>
      </c>
      <c r="V13" s="46">
        <v>9.7260000000000009</v>
      </c>
      <c r="W13" s="35">
        <v>0</v>
      </c>
      <c r="X13" s="35">
        <v>0</v>
      </c>
      <c r="Y13" s="34">
        <v>243481750.00000003</v>
      </c>
      <c r="Z13" s="54">
        <v>14.183687278409982</v>
      </c>
      <c r="AA13" s="34">
        <v>31.32</v>
      </c>
      <c r="AB13" s="54">
        <v>0.25</v>
      </c>
      <c r="AC13" s="34">
        <v>27.72</v>
      </c>
      <c r="AD13" s="53">
        <v>0.25847457627118658</v>
      </c>
      <c r="AE13" s="53">
        <v>2.8899999999999999E-2</v>
      </c>
      <c r="AF13" s="53">
        <v>3.6299999999999999E-2</v>
      </c>
      <c r="AG13" s="53">
        <v>0.14069999999999999</v>
      </c>
      <c r="AH13" s="54">
        <v>3.1023622047244093</v>
      </c>
      <c r="AI13" s="54">
        <v>1.4409448818897639</v>
      </c>
      <c r="AJ13" s="54">
        <v>0.26011131725417441</v>
      </c>
      <c r="AK13" s="54">
        <v>0.20635855166323228</v>
      </c>
      <c r="AL13" s="54">
        <v>74.234820982514577</v>
      </c>
    </row>
    <row r="14" spans="1:38" x14ac:dyDescent="0.25">
      <c r="A14" t="e" vm="73">
        <v>#VALUE!</v>
      </c>
      <c r="B14" t="s">
        <v>98</v>
      </c>
      <c r="C14" s="46">
        <v>2.6</v>
      </c>
      <c r="D14" s="34">
        <v>1590.971</v>
      </c>
      <c r="E14" s="34">
        <v>611911923.07692301</v>
      </c>
      <c r="F14">
        <v>0.15</v>
      </c>
      <c r="G14" s="57">
        <v>6.1224000000000001E-2</v>
      </c>
      <c r="H14" s="34">
        <v>154100</v>
      </c>
      <c r="I14" s="46">
        <v>2.66</v>
      </c>
      <c r="J14" s="46">
        <v>1.39</v>
      </c>
      <c r="K14" s="34">
        <v>472418</v>
      </c>
      <c r="L14" s="34">
        <v>480529</v>
      </c>
      <c r="M14" s="34">
        <v>525000</v>
      </c>
      <c r="N14" s="34">
        <v>525000</v>
      </c>
      <c r="O14" s="34">
        <v>884</v>
      </c>
      <c r="P14" s="34">
        <v>943</v>
      </c>
      <c r="Q14" s="34">
        <v>895</v>
      </c>
      <c r="R14" s="34">
        <v>692.15000000000009</v>
      </c>
      <c r="S14" s="53">
        <v>0.3532378792174653</v>
      </c>
      <c r="T14">
        <v>363378750.00000006</v>
      </c>
      <c r="U14">
        <v>1590.971</v>
      </c>
      <c r="V14" s="46">
        <v>7.25</v>
      </c>
      <c r="W14" s="35">
        <v>0</v>
      </c>
      <c r="X14" s="35">
        <v>0</v>
      </c>
      <c r="Y14" s="34">
        <v>363378750.00000006</v>
      </c>
      <c r="Z14" s="54">
        <v>4.3782719820572877</v>
      </c>
      <c r="AA14" s="34">
        <v>35.33</v>
      </c>
      <c r="AB14" s="54">
        <v>7.0000000000000007E-2</v>
      </c>
      <c r="AC14" s="34">
        <v>37.142857142857139</v>
      </c>
      <c r="AD14" s="53">
        <v>-5.1048167706833139E-2</v>
      </c>
      <c r="AE14" s="53">
        <v>0.04</v>
      </c>
      <c r="AF14" s="53">
        <v>4.19E-2</v>
      </c>
      <c r="AG14" s="53">
        <v>8.9800000000000005E-2</v>
      </c>
      <c r="AH14" s="54">
        <v>8.9361702127659566</v>
      </c>
      <c r="AI14" s="54">
        <v>6.0212765957446805</v>
      </c>
      <c r="AJ14" s="54">
        <v>4.73970473970474E-2</v>
      </c>
      <c r="AK14" s="54">
        <v>4.5252225519287835E-2</v>
      </c>
      <c r="AL14" s="54">
        <v>70</v>
      </c>
    </row>
    <row r="15" spans="1:38" x14ac:dyDescent="0.25">
      <c r="A15" t="e" vm="74">
        <v>#VALUE!</v>
      </c>
      <c r="B15" t="s">
        <v>98</v>
      </c>
      <c r="C15" s="46">
        <v>12.11</v>
      </c>
      <c r="D15" s="34">
        <v>1775.6890000000001</v>
      </c>
      <c r="E15" s="34">
        <v>146629975.22708505</v>
      </c>
      <c r="F15">
        <v>1.3</v>
      </c>
      <c r="G15" s="57">
        <v>0.120259</v>
      </c>
      <c r="H15" s="34">
        <v>1763886</v>
      </c>
      <c r="I15" s="46">
        <v>14.99</v>
      </c>
      <c r="J15" s="46">
        <v>4.0999999999999996</v>
      </c>
      <c r="K15" s="34">
        <v>313797</v>
      </c>
      <c r="L15" s="34">
        <v>395331</v>
      </c>
      <c r="M15" s="34">
        <v>535000</v>
      </c>
      <c r="N15" s="34">
        <v>535000</v>
      </c>
      <c r="O15" s="34">
        <v>994</v>
      </c>
      <c r="P15" s="34">
        <v>1034</v>
      </c>
      <c r="Q15" s="34">
        <v>900</v>
      </c>
      <c r="R15" s="34">
        <v>687.15000000000009</v>
      </c>
      <c r="S15" s="53">
        <v>0.3506861355259428</v>
      </c>
      <c r="T15">
        <v>367625250.00000006</v>
      </c>
      <c r="U15">
        <v>1775.6890000000001</v>
      </c>
      <c r="V15" s="46">
        <v>16.359000000000002</v>
      </c>
      <c r="W15" s="35">
        <v>0</v>
      </c>
      <c r="X15" s="35">
        <v>0</v>
      </c>
      <c r="Y15" s="34">
        <v>367625250.00000006</v>
      </c>
      <c r="Z15" s="54">
        <v>4.8301606051270953</v>
      </c>
      <c r="AA15" s="34">
        <v>20.450980392156861</v>
      </c>
      <c r="AB15" s="54">
        <v>0.51</v>
      </c>
      <c r="AC15" s="34">
        <v>23.745098039215684</v>
      </c>
      <c r="AD15" s="53">
        <v>0.58056265984654731</v>
      </c>
      <c r="AE15" s="53">
        <v>1.7399999999999999E-2</v>
      </c>
      <c r="AF15" s="53">
        <v>2.41E-2</v>
      </c>
      <c r="AG15" s="53">
        <v>0.13039999999999999</v>
      </c>
      <c r="AH15" s="54">
        <v>1.9639639639639639</v>
      </c>
      <c r="AI15" s="54">
        <v>0.80180180180180183</v>
      </c>
      <c r="AJ15" s="54">
        <v>0.36134699853587116</v>
      </c>
      <c r="AK15" s="54">
        <v>0.26543342654334268</v>
      </c>
      <c r="AL15" s="54">
        <v>78.540656326695853</v>
      </c>
    </row>
    <row r="16" spans="1:38" x14ac:dyDescent="0.25">
      <c r="A16" t="e" vm="75">
        <v>#VALUE!</v>
      </c>
      <c r="B16" t="s">
        <v>98</v>
      </c>
      <c r="C16" s="46">
        <v>4.29</v>
      </c>
      <c r="D16" s="34">
        <v>1826.29</v>
      </c>
      <c r="E16" s="34">
        <v>425708624.70862472</v>
      </c>
      <c r="F16">
        <v>0.39</v>
      </c>
      <c r="G16" s="57">
        <v>0.1</v>
      </c>
      <c r="H16" s="34">
        <v>4025321</v>
      </c>
      <c r="I16" s="46">
        <v>5.55</v>
      </c>
      <c r="J16" s="46">
        <v>2</v>
      </c>
      <c r="K16" s="34">
        <v>882000</v>
      </c>
      <c r="L16" s="34">
        <v>762000</v>
      </c>
      <c r="M16" s="34">
        <v>730000</v>
      </c>
      <c r="N16" s="34">
        <v>730000</v>
      </c>
      <c r="O16" s="34">
        <v>1068</v>
      </c>
      <c r="P16" s="34">
        <v>1141</v>
      </c>
      <c r="Q16" s="34">
        <v>1125</v>
      </c>
      <c r="R16" s="34">
        <v>462.15000000000009</v>
      </c>
      <c r="S16" s="53">
        <v>0.23585766940742847</v>
      </c>
      <c r="T16">
        <v>337369500.00000006</v>
      </c>
      <c r="U16">
        <v>1826.29</v>
      </c>
      <c r="V16" s="46">
        <v>16.706</v>
      </c>
      <c r="W16" s="35">
        <v>0</v>
      </c>
      <c r="X16" s="35">
        <v>0</v>
      </c>
      <c r="Y16" s="34">
        <v>337369500.00000006</v>
      </c>
      <c r="Z16" s="54">
        <v>5.4133227811049895</v>
      </c>
      <c r="AA16" s="34">
        <v>-5.5113636363636358</v>
      </c>
      <c r="AB16" s="54">
        <v>-0.88</v>
      </c>
      <c r="AC16" s="34">
        <v>-4.875</v>
      </c>
      <c r="AD16" s="53">
        <v>-1.8348623853211024E-2</v>
      </c>
      <c r="AE16" s="53">
        <v>-0.1055</v>
      </c>
      <c r="AF16" s="53">
        <v>-0.16250000000000001</v>
      </c>
      <c r="AG16" s="53">
        <v>-0.38729999999999998</v>
      </c>
      <c r="AH16" s="54">
        <v>4.7481203007518795</v>
      </c>
      <c r="AI16" s="54">
        <v>3.1240601503759398</v>
      </c>
      <c r="AJ16" s="54">
        <v>0.64620630861040074</v>
      </c>
      <c r="AK16" s="54">
        <v>0.3925427239772139</v>
      </c>
      <c r="AL16" s="54">
        <v>67.902739726027406</v>
      </c>
    </row>
    <row r="17" spans="1:38" x14ac:dyDescent="0.25">
      <c r="A17" t="e" vm="76">
        <v>#VALUE!</v>
      </c>
      <c r="B17" t="s">
        <v>98</v>
      </c>
      <c r="C17" s="46">
        <v>9.5299999999999994</v>
      </c>
      <c r="D17" s="34">
        <v>2074.4899999999998</v>
      </c>
      <c r="E17" s="34">
        <v>217679958.02728227</v>
      </c>
      <c r="F17">
        <v>0.27</v>
      </c>
      <c r="G17" s="57">
        <v>2.9158E-2</v>
      </c>
      <c r="H17" s="34">
        <v>382674</v>
      </c>
      <c r="I17" s="46">
        <v>13.49</v>
      </c>
      <c r="J17" s="46">
        <v>5.0199999999999996</v>
      </c>
      <c r="K17" s="34">
        <v>0</v>
      </c>
      <c r="L17" s="34">
        <v>28678</v>
      </c>
      <c r="M17" s="34">
        <v>280000</v>
      </c>
      <c r="N17" s="34">
        <v>280000</v>
      </c>
      <c r="O17" s="34">
        <v>0</v>
      </c>
      <c r="P17" s="34">
        <v>621</v>
      </c>
      <c r="Q17" s="34">
        <v>621</v>
      </c>
      <c r="R17" s="34">
        <v>966.15000000000009</v>
      </c>
      <c r="S17" s="53">
        <v>0.49307343351290051</v>
      </c>
      <c r="T17">
        <v>270522000</v>
      </c>
      <c r="U17">
        <v>2074.4899999999998</v>
      </c>
      <c r="V17" s="46">
        <v>4.8159999999999998</v>
      </c>
      <c r="W17" s="35">
        <v>0</v>
      </c>
      <c r="X17" s="35">
        <v>0</v>
      </c>
      <c r="Y17" s="34">
        <v>270522000</v>
      </c>
      <c r="Z17" s="54">
        <v>7.6684705864957374</v>
      </c>
      <c r="AA17" s="34">
        <v>0</v>
      </c>
      <c r="AB17" s="54">
        <v>0</v>
      </c>
      <c r="AC17" s="34">
        <v>0</v>
      </c>
      <c r="AD17" s="53">
        <v>0</v>
      </c>
      <c r="AE17" s="53">
        <v>0</v>
      </c>
      <c r="AF17" s="53">
        <v>0</v>
      </c>
      <c r="AG17" s="53">
        <v>0</v>
      </c>
      <c r="AH17" s="54">
        <v>1.2844827586206897</v>
      </c>
      <c r="AI17" s="54">
        <v>0.65517241379310343</v>
      </c>
      <c r="AJ17" s="54">
        <v>2.0171306209850108</v>
      </c>
      <c r="AK17" s="54">
        <v>0.66855926188786374</v>
      </c>
      <c r="AL17" s="54">
        <v>61.54</v>
      </c>
    </row>
    <row r="18" spans="1:38" x14ac:dyDescent="0.25">
      <c r="A18" t="e" vm="77">
        <v>#VALUE!</v>
      </c>
      <c r="B18" t="s">
        <v>98</v>
      </c>
      <c r="C18" s="46">
        <v>21.95</v>
      </c>
      <c r="D18" s="34">
        <v>1804.4179999999999</v>
      </c>
      <c r="E18" s="34">
        <v>82205831.435079724</v>
      </c>
      <c r="F18">
        <v>1.48</v>
      </c>
      <c r="G18" s="57">
        <v>7.2301000000000004E-2</v>
      </c>
      <c r="H18" s="34">
        <v>520968</v>
      </c>
      <c r="I18" s="46">
        <v>25.57</v>
      </c>
      <c r="J18" s="46">
        <v>12.12</v>
      </c>
      <c r="K18" s="34">
        <v>347090</v>
      </c>
      <c r="L18" s="34">
        <v>421828</v>
      </c>
      <c r="M18" s="34">
        <v>425000</v>
      </c>
      <c r="N18" s="34">
        <v>425000</v>
      </c>
      <c r="O18" s="34">
        <v>1088</v>
      </c>
      <c r="P18" s="34">
        <v>1087</v>
      </c>
      <c r="Q18" s="34">
        <v>1087</v>
      </c>
      <c r="R18" s="34">
        <v>500.15000000000009</v>
      </c>
      <c r="S18" s="53">
        <v>0.25525092146299977</v>
      </c>
      <c r="T18">
        <v>212563750.00000003</v>
      </c>
      <c r="U18">
        <v>1804.4179999999999</v>
      </c>
      <c r="V18" s="46">
        <v>5.3760000000000003</v>
      </c>
      <c r="W18" s="35">
        <v>0</v>
      </c>
      <c r="X18" s="35">
        <v>0</v>
      </c>
      <c r="Y18" s="34">
        <v>212563750.00000003</v>
      </c>
      <c r="Z18" s="54">
        <v>8.4888321738772472</v>
      </c>
      <c r="AA18" s="34">
        <v>68.319999999999993</v>
      </c>
      <c r="AB18" s="54">
        <v>0.47</v>
      </c>
      <c r="AC18" s="34">
        <v>46.702127659574472</v>
      </c>
      <c r="AD18" s="53">
        <v>0.35225171023018481</v>
      </c>
      <c r="AE18" s="53">
        <v>3.5000000000000003E-2</v>
      </c>
      <c r="AF18" s="53">
        <v>5.4399999999999997E-2</v>
      </c>
      <c r="AG18" s="53">
        <v>9.4399999999999998E-2</v>
      </c>
      <c r="AH18" s="54">
        <v>3.8461538461538463</v>
      </c>
      <c r="AI18" s="54">
        <v>2.1538461538461537</v>
      </c>
      <c r="AJ18" s="54">
        <v>0.54320987654320985</v>
      </c>
      <c r="AK18" s="54">
        <v>0.35199999999999998</v>
      </c>
      <c r="AL18" s="54">
        <v>73.572779317647061</v>
      </c>
    </row>
    <row r="19" spans="1:38" x14ac:dyDescent="0.25">
      <c r="A19" t="e" vm="78">
        <v>#VALUE!</v>
      </c>
      <c r="B19" t="s">
        <v>98</v>
      </c>
      <c r="C19" s="46">
        <v>3.54</v>
      </c>
      <c r="D19" s="34">
        <v>1105.682</v>
      </c>
      <c r="E19" s="34">
        <v>312339548.02259886</v>
      </c>
      <c r="F19">
        <v>0.22</v>
      </c>
      <c r="G19" s="57">
        <v>6.6265000000000004E-2</v>
      </c>
      <c r="H19" s="34">
        <v>2693109</v>
      </c>
      <c r="I19" s="46">
        <v>5.75</v>
      </c>
      <c r="J19" s="46">
        <v>1.57</v>
      </c>
      <c r="K19" s="34">
        <v>244600</v>
      </c>
      <c r="L19" s="34">
        <v>340900</v>
      </c>
      <c r="M19" s="34">
        <v>335000</v>
      </c>
      <c r="N19" s="34">
        <v>335000</v>
      </c>
      <c r="O19" s="34">
        <v>951</v>
      </c>
      <c r="P19" s="34">
        <v>724</v>
      </c>
      <c r="Q19" s="34">
        <v>927.5</v>
      </c>
      <c r="R19" s="34">
        <v>659.65000000000009</v>
      </c>
      <c r="S19" s="53">
        <v>0.33665154522256885</v>
      </c>
      <c r="T19">
        <v>220982750.00000003</v>
      </c>
      <c r="U19">
        <v>1105.682</v>
      </c>
      <c r="V19" s="46">
        <v>25.341000000000001</v>
      </c>
      <c r="W19" s="35">
        <v>0</v>
      </c>
      <c r="X19" s="35">
        <v>0</v>
      </c>
      <c r="Y19" s="34">
        <v>220982750.00000003</v>
      </c>
      <c r="Z19" s="54">
        <v>5.0034765157008856</v>
      </c>
      <c r="AA19" s="34">
        <v>13.78</v>
      </c>
      <c r="AB19" s="54">
        <v>0.15</v>
      </c>
      <c r="AC19" s="34">
        <v>23.6</v>
      </c>
      <c r="AD19" s="53">
        <v>0.83694351133248379</v>
      </c>
      <c r="AE19" s="53">
        <v>4.6800000000000001E-2</v>
      </c>
      <c r="AF19" s="53">
        <v>6.6100000000000006E-2</v>
      </c>
      <c r="AG19" s="53">
        <v>0.1055</v>
      </c>
      <c r="AH19" s="54">
        <v>1.7191780821917808</v>
      </c>
      <c r="AI19" s="54">
        <v>0.67123287671232879</v>
      </c>
      <c r="AJ19" s="54">
        <v>0.39097744360902253</v>
      </c>
      <c r="AK19" s="54">
        <v>0.2810810810810811</v>
      </c>
      <c r="AL19" s="54">
        <v>63.253588516746404</v>
      </c>
    </row>
    <row r="20" spans="1:38" x14ac:dyDescent="0.25">
      <c r="A20" t="e" vm="79">
        <v>#VALUE!</v>
      </c>
      <c r="B20" t="s">
        <v>98</v>
      </c>
      <c r="C20" s="46">
        <v>15.18</v>
      </c>
      <c r="D20" s="34">
        <v>1165.662</v>
      </c>
      <c r="E20" s="34">
        <v>76789328.063241109</v>
      </c>
      <c r="F20">
        <v>1.47</v>
      </c>
      <c r="G20" s="57">
        <v>0.107221</v>
      </c>
      <c r="H20" s="34">
        <v>578841</v>
      </c>
      <c r="I20" s="46">
        <v>22.45</v>
      </c>
      <c r="J20" s="46">
        <v>8.7899999999999991</v>
      </c>
      <c r="K20" s="34">
        <v>347640</v>
      </c>
      <c r="L20" s="34">
        <v>454811</v>
      </c>
      <c r="M20" s="34">
        <v>450000</v>
      </c>
      <c r="N20" s="34">
        <v>450000</v>
      </c>
      <c r="O20" s="34">
        <v>964</v>
      </c>
      <c r="P20" s="34">
        <v>805</v>
      </c>
      <c r="Q20" s="34">
        <v>930</v>
      </c>
      <c r="R20" s="34">
        <v>657.15000000000009</v>
      </c>
      <c r="S20" s="53">
        <v>0.33537567337680751</v>
      </c>
      <c r="T20">
        <v>295717500.00000006</v>
      </c>
      <c r="U20">
        <v>1165.662</v>
      </c>
      <c r="V20" s="46">
        <v>2.2400000000000002</v>
      </c>
      <c r="W20" s="35">
        <v>0</v>
      </c>
      <c r="X20" s="35">
        <v>0</v>
      </c>
      <c r="Y20" s="34">
        <v>295717500.00000006</v>
      </c>
      <c r="Z20" s="54">
        <v>3.9418093281594757</v>
      </c>
      <c r="AA20" s="34">
        <v>36.53</v>
      </c>
      <c r="AB20" s="54">
        <v>0.84</v>
      </c>
      <c r="AC20" s="34">
        <v>18.071428571428573</v>
      </c>
      <c r="AD20" s="53">
        <v>1.0349317243569387</v>
      </c>
      <c r="AE20" s="53">
        <v>5.6899999999999999E-2</v>
      </c>
      <c r="AF20" s="53">
        <v>8.9300000000000004E-2</v>
      </c>
      <c r="AG20" s="53">
        <v>0.1111</v>
      </c>
      <c r="AH20" s="54">
        <v>1.3950617283950617</v>
      </c>
      <c r="AI20" s="54">
        <v>0.66666666666666663</v>
      </c>
      <c r="AJ20" s="54">
        <v>0.47305389221556887</v>
      </c>
      <c r="AK20" s="54">
        <v>0.32113821138211385</v>
      </c>
      <c r="AL20" s="54">
        <v>67.239999999999995</v>
      </c>
    </row>
    <row r="21" spans="1:38" x14ac:dyDescent="0.25">
      <c r="A21" t="e" vm="80">
        <v>#VALUE!</v>
      </c>
      <c r="B21" t="s">
        <v>99</v>
      </c>
      <c r="C21" s="46">
        <v>6.12</v>
      </c>
      <c r="D21" s="34">
        <v>1032.923</v>
      </c>
      <c r="E21" s="34">
        <v>168778267.97385621</v>
      </c>
      <c r="F21">
        <v>0.39</v>
      </c>
      <c r="G21" s="57">
        <v>6.8062999999999999E-2</v>
      </c>
      <c r="H21" s="34">
        <v>622353</v>
      </c>
      <c r="I21" s="46">
        <v>6.66</v>
      </c>
      <c r="J21" s="46">
        <v>3.2</v>
      </c>
      <c r="K21" s="34">
        <v>201000</v>
      </c>
      <c r="L21" s="34">
        <v>231000</v>
      </c>
      <c r="M21" s="34">
        <v>274000</v>
      </c>
      <c r="N21" s="34">
        <v>274000</v>
      </c>
      <c r="O21" s="34">
        <v>659</v>
      </c>
      <c r="P21" s="34">
        <v>725</v>
      </c>
      <c r="Q21" s="34">
        <v>720</v>
      </c>
      <c r="R21" s="34">
        <v>867.15000000000009</v>
      </c>
      <c r="S21" s="53">
        <v>0.54635667706265956</v>
      </c>
      <c r="T21">
        <v>237599100.00000003</v>
      </c>
      <c r="U21">
        <v>1032.923</v>
      </c>
      <c r="V21" s="46">
        <v>2.5819999999999999</v>
      </c>
      <c r="W21" s="35">
        <v>0</v>
      </c>
      <c r="X21" s="35">
        <v>0</v>
      </c>
      <c r="Y21" s="34">
        <v>237599100.00000003</v>
      </c>
      <c r="Z21" s="54">
        <v>4.3473354907489128</v>
      </c>
      <c r="AA21" s="34">
        <v>38.83</v>
      </c>
      <c r="AB21" s="54">
        <v>0.21</v>
      </c>
      <c r="AC21" s="34">
        <v>29.142857142857146</v>
      </c>
      <c r="AD21" s="53">
        <v>0.34927904397295073</v>
      </c>
      <c r="AE21" s="53">
        <v>2.29E-2</v>
      </c>
      <c r="AF21" s="53">
        <v>3.1199999999999999E-2</v>
      </c>
      <c r="AG21" s="53">
        <v>5.6000000000000001E-2</v>
      </c>
      <c r="AH21" s="54">
        <v>0.90322580645161288</v>
      </c>
      <c r="AI21" s="54">
        <v>0.18279569892473119</v>
      </c>
      <c r="AJ21" s="54">
        <v>0.36075949367088606</v>
      </c>
      <c r="AK21" s="54">
        <v>0.26511627906976742</v>
      </c>
      <c r="AL21" s="54">
        <v>58.340756756756761</v>
      </c>
    </row>
    <row r="22" spans="1:38" x14ac:dyDescent="0.25">
      <c r="A22" t="e" vm="81">
        <v>#VALUE!</v>
      </c>
      <c r="B22" t="s">
        <v>99</v>
      </c>
      <c r="C22" s="46">
        <v>10.45</v>
      </c>
      <c r="D22" s="34">
        <v>2352.1669999999999</v>
      </c>
      <c r="E22" s="34">
        <v>225087751.19617227</v>
      </c>
      <c r="F22">
        <v>-0.49</v>
      </c>
      <c r="G22" s="57">
        <v>-4.4790000000000003E-2</v>
      </c>
      <c r="H22" s="34">
        <v>3062015</v>
      </c>
      <c r="I22" s="46">
        <v>13.52</v>
      </c>
      <c r="J22" s="46">
        <v>4.9000000000000004</v>
      </c>
      <c r="K22" s="34">
        <v>25601</v>
      </c>
      <c r="L22" s="34">
        <v>194941</v>
      </c>
      <c r="M22" s="34">
        <v>700000</v>
      </c>
      <c r="N22" s="34">
        <v>700000</v>
      </c>
      <c r="O22" s="34">
        <v>886</v>
      </c>
      <c r="P22" s="34">
        <v>931</v>
      </c>
      <c r="Q22" s="34">
        <v>1000</v>
      </c>
      <c r="R22" s="34">
        <v>587.15000000000009</v>
      </c>
      <c r="S22" s="53">
        <v>0.36993982925369379</v>
      </c>
      <c r="T22">
        <v>411005000.00000006</v>
      </c>
      <c r="U22">
        <v>2352.1669999999999</v>
      </c>
      <c r="V22" s="46">
        <v>12.7</v>
      </c>
      <c r="W22" s="35">
        <v>0</v>
      </c>
      <c r="X22" s="35">
        <v>0</v>
      </c>
      <c r="Y22" s="34">
        <v>411005000.00000006</v>
      </c>
      <c r="Z22" s="54">
        <v>5.7229644408218867</v>
      </c>
      <c r="AA22" s="34">
        <v>-18.163636363636364</v>
      </c>
      <c r="AB22" s="54">
        <v>-0.55000000000000004</v>
      </c>
      <c r="AC22" s="34">
        <v>-18.999999999999996</v>
      </c>
      <c r="AD22" s="53">
        <v>17.779800000000002</v>
      </c>
      <c r="AE22" s="53">
        <v>-3.0800000000000001E-2</v>
      </c>
      <c r="AF22" s="53">
        <v>-5.2200000000000003E-2</v>
      </c>
      <c r="AG22" s="53">
        <v>-0.10199999999999999</v>
      </c>
      <c r="AH22" s="54">
        <v>1.1268391410140763</v>
      </c>
      <c r="AI22" s="54">
        <v>0.5132994246643876</v>
      </c>
      <c r="AJ22" s="54">
        <v>1.0824494676957963</v>
      </c>
      <c r="AK22" s="54">
        <v>0.51979627092392922</v>
      </c>
      <c r="AL22" s="54">
        <v>63.12</v>
      </c>
    </row>
    <row r="23" spans="1:38" x14ac:dyDescent="0.25">
      <c r="A23" t="e" vm="82">
        <v>#VALUE!</v>
      </c>
      <c r="B23" t="s">
        <v>99</v>
      </c>
      <c r="C23" s="46">
        <v>0.115</v>
      </c>
      <c r="D23" s="34">
        <v>97.313829999999996</v>
      </c>
      <c r="E23" s="34">
        <v>846207217.39130425</v>
      </c>
      <c r="F23">
        <v>0</v>
      </c>
      <c r="G23" s="57">
        <v>0</v>
      </c>
      <c r="H23" s="34">
        <v>795163</v>
      </c>
      <c r="I23" s="46">
        <v>0.35</v>
      </c>
      <c r="J23" s="46">
        <v>7.4999999999999997E-2</v>
      </c>
      <c r="K23" s="34">
        <v>0</v>
      </c>
      <c r="L23" s="34">
        <v>27316</v>
      </c>
      <c r="M23" s="34">
        <v>45000</v>
      </c>
      <c r="N23" s="34">
        <v>45000</v>
      </c>
      <c r="O23" s="34">
        <v>0</v>
      </c>
      <c r="P23" s="34">
        <v>2300</v>
      </c>
      <c r="Q23" s="34">
        <v>1562.5</v>
      </c>
      <c r="R23" s="34">
        <v>24.650000000000091</v>
      </c>
      <c r="S23" s="53">
        <v>1.5530983208896506E-2</v>
      </c>
      <c r="T23">
        <v>1109250.0000000042</v>
      </c>
      <c r="U23">
        <v>97.313829999999996</v>
      </c>
      <c r="V23" s="46">
        <v>0.89</v>
      </c>
      <c r="W23" s="35">
        <v>0</v>
      </c>
      <c r="X23" s="35">
        <v>0</v>
      </c>
      <c r="Y23" s="34">
        <v>1109250.0000000042</v>
      </c>
      <c r="Z23" s="54">
        <v>87.729393734504953</v>
      </c>
      <c r="AA23" s="34">
        <v>-1.4999999999999998</v>
      </c>
      <c r="AB23" s="54">
        <v>-0.1</v>
      </c>
      <c r="AC23" s="34">
        <v>-1.1499999999999999</v>
      </c>
      <c r="AD23" s="53">
        <v>0</v>
      </c>
      <c r="AE23" s="53">
        <v>-0.49459999999999998</v>
      </c>
      <c r="AF23" s="53">
        <v>-88.6327</v>
      </c>
      <c r="AG23" s="53">
        <v>-1.2377</v>
      </c>
      <c r="AH23" s="54">
        <v>0.25641025641025639</v>
      </c>
      <c r="AI23" s="54">
        <v>5.128205128205128E-2</v>
      </c>
      <c r="AJ23" s="54">
        <v>-7.833333333333333</v>
      </c>
      <c r="AK23" s="54">
        <v>1.1463414634146341</v>
      </c>
      <c r="AL23" s="54">
        <v>77.17</v>
      </c>
    </row>
    <row r="24" spans="1:38" x14ac:dyDescent="0.25">
      <c r="A24" t="e" vm="83">
        <v>#VALUE!</v>
      </c>
      <c r="B24" t="s">
        <v>99</v>
      </c>
      <c r="C24" s="46">
        <v>4.04</v>
      </c>
      <c r="D24" s="34">
        <v>767.9194</v>
      </c>
      <c r="E24" s="34">
        <v>190079059.40594059</v>
      </c>
      <c r="F24">
        <v>0.42</v>
      </c>
      <c r="G24" s="57">
        <v>0.116022</v>
      </c>
      <c r="H24" s="34">
        <v>1436052</v>
      </c>
      <c r="I24" s="46">
        <v>4.4649999999999999</v>
      </c>
      <c r="J24" s="46">
        <v>1.27</v>
      </c>
      <c r="K24" s="34">
        <v>47237</v>
      </c>
      <c r="L24" s="34">
        <v>82256</v>
      </c>
      <c r="M24" s="34">
        <v>115000</v>
      </c>
      <c r="N24" s="34">
        <v>115000</v>
      </c>
      <c r="O24" s="34">
        <v>809</v>
      </c>
      <c r="P24" s="34">
        <v>680</v>
      </c>
      <c r="Q24" s="34">
        <v>750</v>
      </c>
      <c r="R24" s="34">
        <v>837.15000000000009</v>
      </c>
      <c r="S24" s="53">
        <v>0.5274548719402703</v>
      </c>
      <c r="T24">
        <v>96272250.000000015</v>
      </c>
      <c r="U24">
        <v>767.9194</v>
      </c>
      <c r="V24" s="46">
        <v>2.4</v>
      </c>
      <c r="W24" s="35">
        <v>0</v>
      </c>
      <c r="X24" s="35">
        <v>0</v>
      </c>
      <c r="Y24" s="34">
        <v>96272250.000000015</v>
      </c>
      <c r="Z24" s="54">
        <v>7.9765394493221029</v>
      </c>
      <c r="AA24" s="34">
        <v>9.19</v>
      </c>
      <c r="AB24" s="54">
        <v>0.16</v>
      </c>
      <c r="AC24" s="34">
        <v>25.25</v>
      </c>
      <c r="AD24" s="53">
        <v>0.92452830188679247</v>
      </c>
      <c r="AE24" s="53">
        <v>0.2681</v>
      </c>
      <c r="AF24" s="53">
        <v>0.33639999999999998</v>
      </c>
      <c r="AG24" s="53">
        <v>0.32</v>
      </c>
      <c r="AH24" s="54">
        <v>1.5666666666666667</v>
      </c>
      <c r="AI24" s="54">
        <v>1</v>
      </c>
      <c r="AJ24" s="54">
        <v>0.24</v>
      </c>
      <c r="AK24" s="54">
        <v>0.19354838709677419</v>
      </c>
      <c r="AL24" s="54">
        <v>65</v>
      </c>
    </row>
    <row r="25" spans="1:38" x14ac:dyDescent="0.25">
      <c r="A25" t="e" vm="84">
        <v>#VALUE!</v>
      </c>
      <c r="B25" t="s">
        <v>99</v>
      </c>
      <c r="C25" s="46">
        <v>1.31</v>
      </c>
      <c r="D25" s="34">
        <v>348.26650000000001</v>
      </c>
      <c r="E25" s="34">
        <v>265852290.07633588</v>
      </c>
      <c r="F25">
        <v>7.0000000000000007E-2</v>
      </c>
      <c r="G25" s="57">
        <v>5.6452000000000002E-2</v>
      </c>
      <c r="H25" s="34">
        <v>426534</v>
      </c>
      <c r="I25" s="46">
        <v>2.84</v>
      </c>
      <c r="J25" s="46">
        <v>0.76</v>
      </c>
      <c r="K25" s="34">
        <v>175640</v>
      </c>
      <c r="L25" s="34">
        <v>174420</v>
      </c>
      <c r="M25" s="34">
        <v>172500</v>
      </c>
      <c r="N25" s="34">
        <v>172500</v>
      </c>
      <c r="O25" s="34">
        <v>1061</v>
      </c>
      <c r="P25" s="34">
        <v>1083</v>
      </c>
      <c r="Q25" s="34">
        <v>1100</v>
      </c>
      <c r="R25" s="34">
        <v>487.15000000000009</v>
      </c>
      <c r="S25" s="53">
        <v>0.30693381217906313</v>
      </c>
      <c r="T25">
        <v>84033375.000000015</v>
      </c>
      <c r="U25">
        <v>348.26650000000001</v>
      </c>
      <c r="V25" s="46">
        <v>0.74</v>
      </c>
      <c r="W25" s="35">
        <v>0</v>
      </c>
      <c r="X25" s="35">
        <v>0</v>
      </c>
      <c r="Y25" s="34">
        <v>84033375.000000015</v>
      </c>
      <c r="Z25" s="54">
        <v>4.1443831096870731</v>
      </c>
      <c r="AA25" s="34">
        <v>-9.7647058823529402</v>
      </c>
      <c r="AB25" s="54">
        <v>-0.17</v>
      </c>
      <c r="AC25" s="34">
        <v>-7.7058823529411766</v>
      </c>
      <c r="AD25" s="53">
        <v>0.73440047428486732</v>
      </c>
      <c r="AE25" s="53">
        <v>-9.5699999999999993E-2</v>
      </c>
      <c r="AF25" s="53">
        <v>-0.12130000000000001</v>
      </c>
      <c r="AG25" s="53">
        <v>-0.51060000000000005</v>
      </c>
      <c r="AH25" s="54">
        <v>1.8775510204081634</v>
      </c>
      <c r="AI25" s="54">
        <v>0.93877551020408168</v>
      </c>
      <c r="AJ25" s="54">
        <v>0.26452905811623245</v>
      </c>
      <c r="AK25" s="54">
        <v>0.2091917591125198</v>
      </c>
      <c r="AL25" s="54">
        <v>69.291951219512185</v>
      </c>
    </row>
    <row r="26" spans="1:38" x14ac:dyDescent="0.25">
      <c r="A26" t="e" vm="85">
        <v>#VALUE!</v>
      </c>
      <c r="B26" t="s">
        <v>99</v>
      </c>
      <c r="C26" s="46">
        <v>1</v>
      </c>
      <c r="D26" s="34">
        <v>566.95060000000001</v>
      </c>
      <c r="E26" s="34">
        <v>566950600</v>
      </c>
      <c r="F26">
        <v>0.16</v>
      </c>
      <c r="G26" s="57">
        <v>0.19047599999999998</v>
      </c>
      <c r="H26" s="34">
        <v>3822921</v>
      </c>
      <c r="I26" s="46">
        <v>2.0299999999999998</v>
      </c>
      <c r="J26" s="46">
        <v>0.55000000000000004</v>
      </c>
      <c r="K26" s="34">
        <v>522603</v>
      </c>
      <c r="L26" s="34">
        <v>486141</v>
      </c>
      <c r="M26" s="34">
        <v>326500</v>
      </c>
      <c r="N26" s="34">
        <v>326500</v>
      </c>
      <c r="O26" s="34">
        <v>1099</v>
      </c>
      <c r="P26" s="34">
        <v>1310</v>
      </c>
      <c r="Q26" s="34">
        <v>1300</v>
      </c>
      <c r="R26" s="34">
        <v>287.15000000000009</v>
      </c>
      <c r="S26" s="53">
        <v>0.18092177802980189</v>
      </c>
      <c r="T26">
        <v>93754475.00000003</v>
      </c>
      <c r="U26">
        <v>566.95060000000001</v>
      </c>
      <c r="V26" s="46">
        <v>11.811</v>
      </c>
      <c r="W26" s="35">
        <v>0</v>
      </c>
      <c r="X26" s="35">
        <v>0</v>
      </c>
      <c r="Y26" s="34">
        <v>93754475.00000003</v>
      </c>
      <c r="Z26" s="54">
        <v>6.0471844143972842</v>
      </c>
      <c r="AA26" s="34">
        <v>-9.5833333333333321</v>
      </c>
      <c r="AB26" s="54">
        <v>-0.12</v>
      </c>
      <c r="AC26" s="34">
        <v>-8.3333333333333339</v>
      </c>
      <c r="AD26" s="53">
        <v>0.62233084641111402</v>
      </c>
      <c r="AE26" s="53">
        <v>-3.4000000000000002E-2</v>
      </c>
      <c r="AF26" s="53">
        <v>-7.6499999999999999E-2</v>
      </c>
      <c r="AG26" s="53">
        <v>-0.1166</v>
      </c>
      <c r="AH26" s="54">
        <v>1.3313953488372092</v>
      </c>
      <c r="AI26" s="54">
        <v>0.48255813953488375</v>
      </c>
      <c r="AJ26" s="54">
        <v>1.2455775234131112</v>
      </c>
      <c r="AK26" s="54">
        <v>0.55442334414080596</v>
      </c>
      <c r="AL26" s="54">
        <v>79.146907216494839</v>
      </c>
    </row>
    <row r="27" spans="1:38" x14ac:dyDescent="0.25">
      <c r="A27" t="e" vm="86">
        <v>#VALUE!</v>
      </c>
      <c r="B27" t="s">
        <v>99</v>
      </c>
      <c r="C27" s="46">
        <v>9.51</v>
      </c>
      <c r="D27" s="34">
        <v>1488</v>
      </c>
      <c r="E27" s="34">
        <v>156466876.97160885</v>
      </c>
      <c r="F27">
        <v>0.59</v>
      </c>
      <c r="G27" s="57">
        <v>6.6143000000000007E-2</v>
      </c>
      <c r="H27" s="34">
        <v>1451517</v>
      </c>
      <c r="I27" s="46">
        <v>9.51</v>
      </c>
      <c r="J27" s="46">
        <v>2.97</v>
      </c>
      <c r="K27" s="34">
        <v>245230</v>
      </c>
      <c r="L27" s="34">
        <v>288768</v>
      </c>
      <c r="M27" s="34">
        <v>350000</v>
      </c>
      <c r="N27" s="34">
        <v>350000</v>
      </c>
      <c r="O27" s="34">
        <v>887</v>
      </c>
      <c r="P27" s="34">
        <v>963</v>
      </c>
      <c r="Q27" s="34">
        <v>1037.5</v>
      </c>
      <c r="R27" s="34">
        <v>549.65000000000009</v>
      </c>
      <c r="S27" s="53">
        <v>0.34631257285070727</v>
      </c>
      <c r="T27">
        <v>192377500.00000003</v>
      </c>
      <c r="U27">
        <v>1488</v>
      </c>
      <c r="V27" s="46">
        <v>2.19</v>
      </c>
      <c r="W27" s="35">
        <v>0</v>
      </c>
      <c r="X27" s="35">
        <v>0</v>
      </c>
      <c r="Y27" s="34">
        <v>192377500.00000003</v>
      </c>
      <c r="Z27" s="54">
        <v>7.7347922704058414</v>
      </c>
      <c r="AA27" s="34">
        <v>-22.64516129032258</v>
      </c>
      <c r="AB27" s="54">
        <v>-0.31</v>
      </c>
      <c r="AC27" s="34">
        <v>-30.677419354838708</v>
      </c>
      <c r="AD27" s="53">
        <v>0.21191031267142074</v>
      </c>
      <c r="AE27" s="53">
        <v>-3.1600000000000003E-2</v>
      </c>
      <c r="AF27" s="53">
        <v>-5.91E-2</v>
      </c>
      <c r="AG27" s="53">
        <v>-9.4500000000000001E-2</v>
      </c>
      <c r="AH27" s="54">
        <v>0.77960526315789469</v>
      </c>
      <c r="AI27" s="54">
        <v>9.8684210526315791E-2</v>
      </c>
      <c r="AJ27" s="54">
        <v>1.1420765027322404</v>
      </c>
      <c r="AK27" s="54">
        <v>0.53061224489795922</v>
      </c>
      <c r="AL27" s="54">
        <v>69.176892253511355</v>
      </c>
    </row>
    <row r="28" spans="1:38" x14ac:dyDescent="0.25">
      <c r="A28" t="e" vm="87">
        <v>#VALUE!</v>
      </c>
      <c r="B28" t="s">
        <v>99</v>
      </c>
      <c r="C28" s="46">
        <v>1.1000000000000001</v>
      </c>
      <c r="D28" s="34">
        <v>74.95008</v>
      </c>
      <c r="E28" s="34">
        <v>68136436.36363636</v>
      </c>
      <c r="F28">
        <v>0.45</v>
      </c>
      <c r="G28" s="57">
        <v>0.69230800000000003</v>
      </c>
      <c r="H28" s="34">
        <v>1093879</v>
      </c>
      <c r="I28" s="46">
        <v>6.95</v>
      </c>
      <c r="J28" s="46">
        <v>0.44</v>
      </c>
      <c r="K28" s="34">
        <v>110970</v>
      </c>
      <c r="L28" s="34">
        <v>139510</v>
      </c>
      <c r="M28" s="34">
        <v>113700</v>
      </c>
      <c r="N28" s="34">
        <v>113700</v>
      </c>
      <c r="O28" s="34">
        <v>1291</v>
      </c>
      <c r="P28" s="34">
        <v>1075</v>
      </c>
      <c r="Q28" s="34">
        <v>1100</v>
      </c>
      <c r="R28" s="34">
        <v>487.15000000000009</v>
      </c>
      <c r="S28" s="53">
        <v>0.30693381217906313</v>
      </c>
      <c r="T28">
        <v>55388955.000000007</v>
      </c>
      <c r="U28">
        <v>74.95008</v>
      </c>
      <c r="V28" s="46">
        <v>3.6880000000000002</v>
      </c>
      <c r="W28" s="35">
        <v>0</v>
      </c>
      <c r="X28" s="35">
        <v>0</v>
      </c>
      <c r="Y28" s="34">
        <v>55388955.000000007</v>
      </c>
      <c r="Z28" s="54">
        <v>1.3531593076634141</v>
      </c>
      <c r="AA28" s="34">
        <v>0</v>
      </c>
      <c r="AB28" s="54">
        <v>0</v>
      </c>
      <c r="AC28" s="34">
        <v>0</v>
      </c>
      <c r="AD28" s="53">
        <v>0</v>
      </c>
      <c r="AE28" s="53">
        <v>0</v>
      </c>
      <c r="AF28" s="53">
        <v>0</v>
      </c>
      <c r="AG28" s="53">
        <v>0</v>
      </c>
      <c r="AH28" s="54">
        <v>0</v>
      </c>
      <c r="AI28" s="54">
        <v>0</v>
      </c>
      <c r="AJ28" s="54">
        <v>0</v>
      </c>
      <c r="AK28" s="54">
        <v>0</v>
      </c>
      <c r="AL28" s="54">
        <v>77.27</v>
      </c>
    </row>
    <row r="29" spans="1:38" x14ac:dyDescent="0.25">
      <c r="A29" t="e" vm="88">
        <v>#VALUE!</v>
      </c>
      <c r="B29" t="s">
        <v>99</v>
      </c>
      <c r="C29" s="46">
        <v>8.0500000000000007</v>
      </c>
      <c r="D29" s="34">
        <v>440.75490000000002</v>
      </c>
      <c r="E29" s="34">
        <v>54752161.490683228</v>
      </c>
      <c r="F29">
        <v>0.5</v>
      </c>
      <c r="G29" s="57">
        <v>6.6224999999999992E-2</v>
      </c>
      <c r="H29" s="34">
        <v>150119</v>
      </c>
      <c r="I29" s="46">
        <v>9.9</v>
      </c>
      <c r="J29" s="46">
        <v>4.0199999999999996</v>
      </c>
      <c r="K29" s="34">
        <v>0</v>
      </c>
      <c r="L29" s="34">
        <v>0</v>
      </c>
      <c r="M29" s="34">
        <v>210000</v>
      </c>
      <c r="N29" s="34">
        <v>210000</v>
      </c>
      <c r="O29" s="34">
        <v>0</v>
      </c>
      <c r="P29" s="34">
        <v>0</v>
      </c>
      <c r="Q29" s="34">
        <v>800</v>
      </c>
      <c r="R29" s="34">
        <v>787.15000000000009</v>
      </c>
      <c r="S29" s="53">
        <v>0.495951863402955</v>
      </c>
      <c r="T29">
        <v>165301500.00000003</v>
      </c>
      <c r="U29">
        <v>440.75490000000002</v>
      </c>
      <c r="V29" s="46">
        <v>4.4000000000000004</v>
      </c>
      <c r="W29" s="35">
        <v>0</v>
      </c>
      <c r="X29" s="35">
        <v>0</v>
      </c>
      <c r="Y29" s="34">
        <v>165301500.00000003</v>
      </c>
      <c r="Z29" s="54">
        <v>2.6663696336693858</v>
      </c>
      <c r="AA29" s="34">
        <v>0</v>
      </c>
      <c r="AB29" s="54">
        <v>0</v>
      </c>
      <c r="AC29" s="34">
        <v>0</v>
      </c>
      <c r="AD29" s="53">
        <v>0</v>
      </c>
      <c r="AE29" s="53">
        <v>0</v>
      </c>
      <c r="AF29" s="53">
        <v>0</v>
      </c>
      <c r="AG29" s="53">
        <v>0</v>
      </c>
      <c r="AH29" s="54">
        <v>0.20454545454545456</v>
      </c>
      <c r="AI29" s="54">
        <v>0.13636363636363635</v>
      </c>
      <c r="AJ29" s="54">
        <v>0.33816964285714285</v>
      </c>
      <c r="AK29" s="54">
        <v>0.25271059216013342</v>
      </c>
      <c r="AL29" s="54">
        <v>75</v>
      </c>
    </row>
    <row r="30" spans="1:38" x14ac:dyDescent="0.25">
      <c r="A30" t="e" vm="89">
        <v>#VALUE!</v>
      </c>
      <c r="B30" t="s">
        <v>99</v>
      </c>
      <c r="C30" s="46">
        <v>9.77</v>
      </c>
      <c r="D30" s="34">
        <v>1248.8320000000001</v>
      </c>
      <c r="E30" s="34">
        <v>127823132.0368475</v>
      </c>
      <c r="F30">
        <v>0.72</v>
      </c>
      <c r="G30" s="57">
        <v>7.9558000000000004E-2</v>
      </c>
      <c r="H30" s="34">
        <v>868227</v>
      </c>
      <c r="I30" s="46">
        <v>11.06</v>
      </c>
      <c r="J30" s="46">
        <v>3.96</v>
      </c>
      <c r="K30" s="34">
        <v>71625</v>
      </c>
      <c r="L30" s="34">
        <v>91688</v>
      </c>
      <c r="M30" s="34">
        <v>95000</v>
      </c>
      <c r="N30" s="34">
        <v>95000</v>
      </c>
      <c r="O30" s="34">
        <v>1276</v>
      </c>
      <c r="P30" s="34">
        <v>1293</v>
      </c>
      <c r="Q30" s="34">
        <v>1315</v>
      </c>
      <c r="R30" s="34">
        <v>272.15000000000009</v>
      </c>
      <c r="S30" s="53">
        <v>0.17147087546860729</v>
      </c>
      <c r="T30">
        <v>25854250.000000007</v>
      </c>
      <c r="U30">
        <v>1248.8320000000001</v>
      </c>
      <c r="V30" s="46">
        <v>0.5605</v>
      </c>
      <c r="W30" s="35">
        <v>0</v>
      </c>
      <c r="X30" s="35">
        <v>0</v>
      </c>
      <c r="Y30" s="34">
        <v>25854250.000000007</v>
      </c>
      <c r="Z30" s="54">
        <v>48.30277420540142</v>
      </c>
      <c r="AA30" s="34">
        <v>44.22</v>
      </c>
      <c r="AB30" s="54">
        <v>0.3</v>
      </c>
      <c r="AC30" s="34">
        <v>32.56666666666667</v>
      </c>
      <c r="AD30" s="53">
        <v>0.70695398709140111</v>
      </c>
      <c r="AE30" s="53">
        <v>0.1653</v>
      </c>
      <c r="AF30" s="53">
        <v>0.22520000000000001</v>
      </c>
      <c r="AG30" s="53">
        <v>0.24970000000000001</v>
      </c>
      <c r="AH30" s="54">
        <v>2.1785714285714284</v>
      </c>
      <c r="AI30" s="54">
        <v>1.2857142857142858</v>
      </c>
      <c r="AJ30" s="54">
        <v>0.38164251207729466</v>
      </c>
      <c r="AK30" s="54">
        <v>0.2762237762237762</v>
      </c>
      <c r="AL30" s="54">
        <v>77.17</v>
      </c>
    </row>
  </sheetData>
  <pageMargins left="0.7" right="0.7" top="0.75" bottom="0.75" header="0.3" footer="0.3"/>
  <pageSetup orientation="portrait" horizontalDpi="0" verticalDpi="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BD23E-12D4-40FC-B269-6DD095886651}">
  <sheetPr codeName="Sheet14">
    <tabColor rgb="FFFFC000"/>
  </sheetPr>
  <dimension ref="A1:AL30"/>
  <sheetViews>
    <sheetView workbookViewId="0">
      <selection activeCell="A4" sqref="A4"/>
    </sheetView>
  </sheetViews>
  <sheetFormatPr defaultRowHeight="15" x14ac:dyDescent="0.25"/>
  <cols>
    <col min="1" max="1" width="39.42578125" bestFit="1" customWidth="1"/>
    <col min="2" max="2" width="15.85546875" bestFit="1" customWidth="1"/>
    <col min="3" max="3" width="7.85546875" customWidth="1"/>
    <col min="4" max="4" width="18.85546875" customWidth="1"/>
    <col min="5" max="5" width="16.85546875" bestFit="1" customWidth="1"/>
    <col min="6" max="6" width="9.7109375" customWidth="1"/>
    <col min="7" max="7" width="13.140625" customWidth="1"/>
    <col min="8" max="8" width="10.5703125" bestFit="1" customWidth="1"/>
    <col min="9" max="9" width="14.7109375" customWidth="1"/>
    <col min="10" max="10" width="14.140625" customWidth="1"/>
    <col min="11" max="12" width="12.7109375" customWidth="1"/>
    <col min="13" max="13" width="20.85546875" customWidth="1"/>
    <col min="14" max="14" width="24.85546875" customWidth="1"/>
    <col min="15" max="16" width="12.5703125" customWidth="1"/>
    <col min="17" max="17" width="21.42578125" customWidth="1"/>
    <col min="18" max="18" width="13.85546875" customWidth="1"/>
    <col min="19" max="19" width="11.42578125" customWidth="1"/>
    <col min="20" max="20" width="13.5703125" customWidth="1"/>
    <col min="21" max="21" width="7.42578125" customWidth="1"/>
    <col min="22" max="22" width="20.7109375" customWidth="1"/>
    <col min="23" max="23" width="15.85546875" customWidth="1"/>
    <col min="24" max="24" width="20.7109375" customWidth="1"/>
    <col min="25" max="25" width="16.85546875" bestFit="1" customWidth="1"/>
    <col min="26" max="26" width="13.85546875" customWidth="1"/>
    <col min="27" max="27" width="10.5703125" customWidth="1"/>
    <col min="28" max="28" width="10.7109375" customWidth="1"/>
    <col min="29" max="29" width="10.5703125" customWidth="1"/>
    <col min="30" max="30" width="17" customWidth="1"/>
    <col min="31" max="31" width="13.28515625" customWidth="1"/>
    <col min="32" max="32" width="13.42578125" customWidth="1"/>
    <col min="33" max="33" width="19" customWidth="1"/>
    <col min="34" max="34" width="14.85546875" customWidth="1"/>
    <col min="35" max="35" width="12.28515625" customWidth="1"/>
    <col min="36" max="36" width="13.7109375" customWidth="1"/>
    <col min="37" max="37" width="13.85546875" customWidth="1"/>
  </cols>
  <sheetData>
    <row r="1" spans="1:38" ht="15.75" thickBot="1" x14ac:dyDescent="0.3">
      <c r="A1" s="56" t="s">
        <v>75</v>
      </c>
      <c r="B1" s="56" t="s">
        <v>95</v>
      </c>
      <c r="C1" s="56" t="s">
        <v>10</v>
      </c>
      <c r="D1" s="56" t="s">
        <v>45</v>
      </c>
      <c r="E1" s="56" t="s">
        <v>78</v>
      </c>
      <c r="F1" s="56" t="s">
        <v>51</v>
      </c>
      <c r="G1" s="56" t="s">
        <v>49</v>
      </c>
      <c r="H1" s="56" t="s">
        <v>121</v>
      </c>
      <c r="I1" s="56" t="s">
        <v>47</v>
      </c>
      <c r="J1" s="56" t="s">
        <v>48</v>
      </c>
      <c r="K1" s="56" t="s">
        <v>11</v>
      </c>
      <c r="L1" s="56" t="s">
        <v>12</v>
      </c>
      <c r="M1" s="56" t="s">
        <v>57</v>
      </c>
      <c r="N1" s="56" t="s">
        <v>60</v>
      </c>
      <c r="O1" s="56" t="s">
        <v>62</v>
      </c>
      <c r="P1" s="56" t="s">
        <v>61</v>
      </c>
      <c r="Q1" s="56" t="s">
        <v>63</v>
      </c>
      <c r="R1" s="56" t="s">
        <v>68</v>
      </c>
      <c r="S1" s="56" t="s">
        <v>74</v>
      </c>
      <c r="T1" s="56" t="s">
        <v>70</v>
      </c>
      <c r="U1" s="56" t="s">
        <v>77</v>
      </c>
      <c r="V1" s="56" t="s">
        <v>83</v>
      </c>
      <c r="W1" s="56" t="s">
        <v>72</v>
      </c>
      <c r="X1" s="56" t="s">
        <v>73</v>
      </c>
      <c r="Y1" s="56" t="s">
        <v>162</v>
      </c>
      <c r="Z1" s="56" t="s">
        <v>79</v>
      </c>
      <c r="AA1" s="56" t="s">
        <v>84</v>
      </c>
      <c r="AB1" s="56" t="s">
        <v>90</v>
      </c>
      <c r="AC1" s="56" t="s">
        <v>85</v>
      </c>
      <c r="AD1" s="56" t="s">
        <v>86</v>
      </c>
      <c r="AE1" s="56" t="s">
        <v>87</v>
      </c>
      <c r="AF1" s="56" t="s">
        <v>88</v>
      </c>
      <c r="AG1" s="56" t="s">
        <v>89</v>
      </c>
      <c r="AH1" s="56" t="s">
        <v>14</v>
      </c>
      <c r="AI1" s="56" t="s">
        <v>15</v>
      </c>
      <c r="AJ1" s="56" t="s">
        <v>17</v>
      </c>
      <c r="AK1" s="56" t="s">
        <v>18</v>
      </c>
      <c r="AL1" s="56" t="s">
        <v>264</v>
      </c>
    </row>
    <row r="2" spans="1:38" x14ac:dyDescent="0.25">
      <c r="A2" t="e" vm="38">
        <f>'Production &amp; FA'!B5</f>
        <v>#VALUE!</v>
      </c>
      <c r="B2" t="str">
        <f>VLOOKUP($A2,Table1[],2,FALSE)</f>
        <v>Large Cap Senior</v>
      </c>
      <c r="C2" s="46">
        <f>VLOOKUP($A2,Table1[],3,FALSE)</f>
        <v>82.76</v>
      </c>
      <c r="D2" s="34">
        <f>VLOOKUP($A2,Table1[],4,FALSE)</f>
        <v>48281.46</v>
      </c>
      <c r="E2" s="34">
        <f>VLOOKUP($A2,Table1[],5,FALSE)</f>
        <v>583391251.81246972</v>
      </c>
      <c r="F2">
        <f>VLOOKUP($A2,Table1[],6,FALSE)</f>
        <v>0.22</v>
      </c>
      <c r="G2" s="57">
        <f>VLOOKUP($A2,Table1[],7,FALSE)</f>
        <v>2.6650000000000003E-3</v>
      </c>
      <c r="H2" s="34">
        <f>VLOOKUP($A2,Table1[],8,FALSE)</f>
        <v>228051</v>
      </c>
      <c r="I2" s="46">
        <f>VLOOKUP($A2,Table1[],9,FALSE)</f>
        <v>84.2</v>
      </c>
      <c r="J2" s="46">
        <f>VLOOKUP($A2,Table1[],10,FALSE)</f>
        <v>40.01</v>
      </c>
      <c r="K2" s="34">
        <f>VLOOKUP($A2,Table1[],11,FALSE)</f>
        <v>5101000</v>
      </c>
      <c r="L2" s="34">
        <f>VLOOKUP($A2,Table1[],12,FALSE)</f>
        <v>6004000</v>
      </c>
      <c r="M2" s="34">
        <f>VLOOKUP($A2,Table1[],13,FALSE)</f>
        <v>6400000</v>
      </c>
      <c r="N2" s="34">
        <f>VLOOKUP($A2,Table1[],14,FALSE)</f>
        <v>6400000</v>
      </c>
      <c r="O2" s="34">
        <f>VLOOKUP($A2,Table1[],16,FALSE)</f>
        <v>909</v>
      </c>
      <c r="P2" s="34">
        <f>VLOOKUP($A2,Table1[],17,FALSE)</f>
        <v>966</v>
      </c>
      <c r="Q2" s="34">
        <f>VLOOKUP($A2,Table1[],18,FALSE)</f>
        <v>975</v>
      </c>
      <c r="R2" s="34">
        <f>VLOOKUP($A2,Table1[],20,FALSE)</f>
        <v>590.91000000000008</v>
      </c>
      <c r="S2" s="53">
        <f>VLOOKUP($A2,Table1[],21,FALSE)</f>
        <v>0.3056606701534571</v>
      </c>
      <c r="T2">
        <f>VLOOKUP($A2,Table1[],22,FALSE)</f>
        <v>3781824000.0000005</v>
      </c>
      <c r="U2">
        <f>VLOOKUP($A2,Table1[],23,FALSE)</f>
        <v>6.4824832190244468</v>
      </c>
      <c r="V2" s="46">
        <f>VLOOKUP($A2,Table1[],24,FALSE)</f>
        <v>65.400000000000006</v>
      </c>
      <c r="W2" s="35">
        <f>VLOOKUP($A2,Table1[],25,FALSE)</f>
        <v>1400000</v>
      </c>
      <c r="X2" s="35">
        <f>VLOOKUP($A2,Table1[],26,FALSE)</f>
        <v>827274000.00000012</v>
      </c>
      <c r="Y2" s="34">
        <f>VLOOKUP($A2,Table1[],27,FALSE)</f>
        <v>4609098000.000001</v>
      </c>
      <c r="Z2" s="54">
        <f>VLOOKUP($A2,Table1[],28,FALSE)</f>
        <v>12.766712570442197</v>
      </c>
      <c r="AA2" s="34">
        <f>VLOOKUP($A2,Table1[],29,FALSE)</f>
        <v>13.09</v>
      </c>
      <c r="AB2" s="54">
        <f>VLOOKUP($A2,Table1[],30,FALSE)</f>
        <v>3.82</v>
      </c>
      <c r="AC2" s="34">
        <f>VLOOKUP($A2,Table1[],31,FALSE)</f>
        <v>21.66492146596859</v>
      </c>
      <c r="AD2" s="53">
        <f>VLOOKUP($A2,Table1[],32,FALSE)</f>
        <v>0.31978319783197839</v>
      </c>
      <c r="AE2" s="53">
        <f>VLOOKUP($A2,Table1[],33,FALSE)</f>
        <v>9.4E-2</v>
      </c>
      <c r="AF2" s="53">
        <f>VLOOKUP($A2,Table1[],34,FALSE)</f>
        <v>0.1757</v>
      </c>
      <c r="AG2" s="53">
        <f>VLOOKUP($A2,Table1[],35,FALSE)</f>
        <v>0.28799999999999998</v>
      </c>
      <c r="AH2" s="54">
        <f>VLOOKUP($A2,Table1[],36,FALSE)</f>
        <v>2.629769392033543</v>
      </c>
      <c r="AI2" s="54">
        <f>VLOOKUP($A2,Table1[],37,FALSE)</f>
        <v>1.0398322851153039</v>
      </c>
      <c r="AJ2" s="54">
        <f>VLOOKUP($A2,Table1[],38,FALSE)</f>
        <v>0.86619981325863682</v>
      </c>
      <c r="AK2" s="54">
        <f>VLOOKUP($A2,Table1[],39,FALSE)</f>
        <v>0.46415169860409267</v>
      </c>
      <c r="AL2" s="54">
        <v>76.067219167321298</v>
      </c>
    </row>
    <row r="3" spans="1:38" x14ac:dyDescent="0.25">
      <c r="A3" t="e" vm="42">
        <f>'Production &amp; FA'!B6</f>
        <v>#VALUE!</v>
      </c>
      <c r="B3" t="str">
        <f>VLOOKUP($A3,Table1[],2,FALSE)</f>
        <v>Large Cap Senior</v>
      </c>
      <c r="C3" s="46">
        <f>VLOOKUP($A3,Table1[],3,FALSE)</f>
        <v>51.74</v>
      </c>
      <c r="D3" s="34">
        <f>VLOOKUP($A3,Table1[],4,FALSE)</f>
        <v>15191.53</v>
      </c>
      <c r="E3" s="34">
        <f>VLOOKUP($A3,Table1[],5,FALSE)</f>
        <v>293612872.05257052</v>
      </c>
      <c r="F3">
        <f>VLOOKUP($A3,Table1[],6,FALSE)</f>
        <v>-1.45</v>
      </c>
      <c r="G3" s="57">
        <f>VLOOKUP($A3,Table1[],7,FALSE)</f>
        <v>-2.7261000000000001E-2</v>
      </c>
      <c r="H3" s="34">
        <f>VLOOKUP($A3,Table1[],8,FALSE)</f>
        <v>2067289</v>
      </c>
      <c r="I3" s="46">
        <f>VLOOKUP($A3,Table1[],9,FALSE)</f>
        <v>67.87</v>
      </c>
      <c r="J3" s="46">
        <f>VLOOKUP($A3,Table1[],10,FALSE)</f>
        <v>25.67</v>
      </c>
      <c r="K3" s="34">
        <f>VLOOKUP($A3,Table1[],11,FALSE)</f>
        <v>723700</v>
      </c>
      <c r="L3" s="34">
        <f>VLOOKUP($A3,Table1[],12,FALSE)</f>
        <v>974615</v>
      </c>
      <c r="M3" s="34">
        <f>VLOOKUP($A3,Table1[],13,FALSE)</f>
        <v>1505000</v>
      </c>
      <c r="N3" s="34">
        <f>VLOOKUP($A3,Table1[],14,FALSE)</f>
        <v>1470000</v>
      </c>
      <c r="O3" s="34">
        <f>VLOOKUP($A3,Table1[],16,FALSE)</f>
        <v>685</v>
      </c>
      <c r="P3" s="34">
        <f>VLOOKUP($A3,Table1[],17,FALSE)</f>
        <v>564</v>
      </c>
      <c r="Q3" s="34">
        <f>VLOOKUP($A3,Table1[],18,FALSE)</f>
        <v>830</v>
      </c>
      <c r="R3" s="34">
        <f>VLOOKUP($A3,Table1[],20,FALSE)</f>
        <v>735.91000000000008</v>
      </c>
      <c r="S3" s="53">
        <f>VLOOKUP($A3,Table1[],21,FALSE)</f>
        <v>0.3806649807460199</v>
      </c>
      <c r="T3">
        <f>VLOOKUP($A3,Table1[],22,FALSE)</f>
        <v>1081787700.0000002</v>
      </c>
      <c r="U3">
        <f>VLOOKUP($A3,Table1[],4,FALSE)</f>
        <v>15191.53</v>
      </c>
      <c r="V3" s="46">
        <f>VLOOKUP($A3,Table1[],24,FALSE)</f>
        <v>20.47</v>
      </c>
      <c r="W3" s="35">
        <f>VLOOKUP($A3,Table1[],25,FALSE)</f>
        <v>0</v>
      </c>
      <c r="X3" s="35">
        <f>VLOOKUP($A3,Table1[],26,FALSE)</f>
        <v>0</v>
      </c>
      <c r="Y3" s="34">
        <f>VLOOKUP($A3,Table1[],27,FALSE)</f>
        <v>1081787700.0000002</v>
      </c>
      <c r="Z3" s="54">
        <f>VLOOKUP($A3,Table1[],28,FALSE)</f>
        <v>14.042986438096861</v>
      </c>
      <c r="AA3" s="34">
        <f>VLOOKUP($A3,Table1[],29,FALSE)</f>
        <v>18.649999999999999</v>
      </c>
      <c r="AB3" s="54">
        <f>VLOOKUP($A3,Table1[],30,FALSE)</f>
        <v>2.67</v>
      </c>
      <c r="AC3" s="34">
        <f>VLOOKUP($A3,Table1[],31,FALSE)</f>
        <v>19.378277153558052</v>
      </c>
      <c r="AD3" s="53">
        <f>VLOOKUP($A3,Table1[],32,FALSE)</f>
        <v>0.83999999999999986</v>
      </c>
      <c r="AE3" s="53">
        <f>VLOOKUP($A3,Table1[],33,FALSE)</f>
        <v>0.26250000000000001</v>
      </c>
      <c r="AF3" s="53">
        <f>VLOOKUP($A3,Table1[],34,FALSE)</f>
        <v>0.36370000000000002</v>
      </c>
      <c r="AG3" s="53">
        <f>VLOOKUP($A3,Table1[],35,FALSE)</f>
        <v>0.40589999999999998</v>
      </c>
      <c r="AH3" s="54">
        <f>VLOOKUP($A3,Table1[],36,FALSE)</f>
        <v>1.9064748201438848</v>
      </c>
      <c r="AI3" s="54">
        <f>VLOOKUP($A3,Table1[],37,FALSE)</f>
        <v>1.6954436450839327</v>
      </c>
      <c r="AJ3" s="54">
        <f>VLOOKUP($A3,Table1[],38,FALSE)</f>
        <v>0.40781507980187121</v>
      </c>
      <c r="AK3" s="54">
        <f>VLOOKUP($A3,Table1[],39,FALSE)</f>
        <v>0.28967943706020327</v>
      </c>
      <c r="AL3" s="54">
        <v>70.416270400711241</v>
      </c>
    </row>
    <row r="4" spans="1:38" x14ac:dyDescent="0.25">
      <c r="A4" t="e" vm="46">
        <f>'Production &amp; FA'!B7</f>
        <v>#VALUE!</v>
      </c>
      <c r="B4" t="str">
        <f>VLOOKUP($A4,Table1[],2,FALSE)</f>
        <v>Large Cap Senior</v>
      </c>
      <c r="C4" s="46">
        <f>VLOOKUP($A4,Table1[],3,FALSE)</f>
        <v>73.5</v>
      </c>
      <c r="D4" s="34">
        <f>VLOOKUP($A4,Table1[],4,FALSE)</f>
        <v>17240.53</v>
      </c>
      <c r="E4" s="34">
        <f>VLOOKUP($A4,Table1[],5,FALSE)</f>
        <v>234565034.01360545</v>
      </c>
      <c r="F4">
        <f>VLOOKUP($A4,Table1[],6,FALSE)</f>
        <v>1.66</v>
      </c>
      <c r="G4" s="57">
        <f>VLOOKUP($A4,Table1[],7,FALSE)</f>
        <v>2.3107000000000003E-2</v>
      </c>
      <c r="H4" s="34">
        <f>VLOOKUP($A4,Table1[],8,FALSE)</f>
        <v>1094146</v>
      </c>
      <c r="I4" s="46">
        <f>VLOOKUP($A4,Table1[],9,FALSE)</f>
        <v>86.39</v>
      </c>
      <c r="J4" s="46">
        <f>VLOOKUP($A4,Table1[],10,FALSE)</f>
        <v>43.25</v>
      </c>
      <c r="K4" s="34">
        <f>VLOOKUP($A4,Table1[],11,FALSE)</f>
        <v>1626669</v>
      </c>
      <c r="L4" s="34">
        <f>VLOOKUP($A4,Table1[],12,FALSE)</f>
        <v>1782147</v>
      </c>
      <c r="M4" s="34">
        <f>VLOOKUP($A4,Table1[],13,FALSE)</f>
        <v>2000000</v>
      </c>
      <c r="N4" s="34">
        <f>VLOOKUP($A4,Table1[],14,FALSE)</f>
        <v>1875000</v>
      </c>
      <c r="O4" s="34">
        <f>VLOOKUP($A4,Table1[],16,FALSE)</f>
        <v>877</v>
      </c>
      <c r="P4" s="34">
        <f>VLOOKUP($A4,Table1[],17,FALSE)</f>
        <v>938</v>
      </c>
      <c r="Q4" s="34">
        <f>VLOOKUP($A4,Table1[],18,FALSE)</f>
        <v>1000</v>
      </c>
      <c r="R4" s="34">
        <f>VLOOKUP($A4,Table1[],20,FALSE)</f>
        <v>565.91000000000008</v>
      </c>
      <c r="S4" s="53">
        <f>VLOOKUP($A4,Table1[],21,FALSE)</f>
        <v>0.29272889246508427</v>
      </c>
      <c r="T4">
        <f>VLOOKUP($A4,Table1[],22,FALSE)</f>
        <v>1061081250.0000001</v>
      </c>
      <c r="U4">
        <f>VLOOKUP($A4,Table1[],4,FALSE)</f>
        <v>17240.53</v>
      </c>
      <c r="V4" s="46">
        <f>VLOOKUP($A4,Table1[],24,FALSE)</f>
        <v>21.585000000000001</v>
      </c>
      <c r="W4" s="35">
        <f>VLOOKUP($A4,Table1[],25,FALSE)</f>
        <v>0</v>
      </c>
      <c r="X4" s="35">
        <f>VLOOKUP($A4,Table1[],26,FALSE)</f>
        <v>0</v>
      </c>
      <c r="Y4" s="34">
        <f>VLOOKUP($A4,Table1[],27,FALSE)</f>
        <v>1061081250.0000001</v>
      </c>
      <c r="Z4" s="54">
        <f>VLOOKUP($A4,Table1[],28,FALSE)</f>
        <v>16.248077138296431</v>
      </c>
      <c r="AA4" s="34">
        <f>VLOOKUP($A4,Table1[],29,FALSE)</f>
        <v>39.99</v>
      </c>
      <c r="AB4" s="54">
        <f>VLOOKUP($A4,Table1[],30,FALSE)</f>
        <v>2</v>
      </c>
      <c r="AC4" s="34">
        <f>VLOOKUP($A4,Table1[],31,FALSE)</f>
        <v>36.75</v>
      </c>
      <c r="AD4" s="53">
        <f>VLOOKUP($A4,Table1[],32,FALSE)</f>
        <v>0.11160714285714285</v>
      </c>
      <c r="AE4" s="53">
        <f>VLOOKUP($A4,Table1[],33,FALSE)</f>
        <v>5.6899999999999999E-2</v>
      </c>
      <c r="AF4" s="53">
        <f>VLOOKUP($A4,Table1[],34,FALSE)</f>
        <v>9.7900000000000001E-2</v>
      </c>
      <c r="AG4" s="53">
        <f>VLOOKUP($A4,Table1[],35,FALSE)</f>
        <v>0.18790000000000001</v>
      </c>
      <c r="AH4" s="54">
        <f>VLOOKUP($A4,Table1[],36,FALSE)</f>
        <v>1.5386597938144331</v>
      </c>
      <c r="AI4" s="54">
        <f>VLOOKUP($A4,Table1[],37,FALSE)</f>
        <v>0.41494845360824745</v>
      </c>
      <c r="AJ4" s="54">
        <f>VLOOKUP($A4,Table1[],38,FALSE)</f>
        <v>0.71948356807511737</v>
      </c>
      <c r="AK4" s="54">
        <f>VLOOKUP($A4,Table1[],39,FALSE)</f>
        <v>0.41843003412969282</v>
      </c>
      <c r="AL4" s="54">
        <v>74.853145400593462</v>
      </c>
    </row>
    <row r="5" spans="1:38" x14ac:dyDescent="0.25">
      <c r="A5" t="e" vm="8">
        <f>'Production &amp; FA'!B8</f>
        <v>#VALUE!</v>
      </c>
      <c r="B5" t="str">
        <f>VLOOKUP($A5,Table1[],2,FALSE)</f>
        <v>Large Cap Senior</v>
      </c>
      <c r="C5" s="46">
        <f>VLOOKUP($A5,Table1[],3,FALSE)</f>
        <v>34</v>
      </c>
      <c r="D5" s="34">
        <f>VLOOKUP($A5,Table1[],4,FALSE)</f>
        <v>59864.49</v>
      </c>
      <c r="E5" s="34">
        <f>VLOOKUP($A5,Table1[],5,FALSE)</f>
        <v>1760720294.1176472</v>
      </c>
      <c r="F5">
        <f>VLOOKUP($A5,Table1[],6,FALSE)</f>
        <v>0.21</v>
      </c>
      <c r="G5" s="57">
        <f>VLOOKUP($A5,Table1[],7,FALSE)</f>
        <v>6.2150000000000009E-3</v>
      </c>
      <c r="H5" s="34">
        <f>VLOOKUP($A5,Table1[],8,FALSE)</f>
        <v>8285295</v>
      </c>
      <c r="I5" s="46">
        <f>VLOOKUP($A5,Table1[],9,FALSE)</f>
        <v>34.49</v>
      </c>
      <c r="J5" s="46">
        <f>VLOOKUP($A5,Table1[],10,FALSE)</f>
        <v>15.72</v>
      </c>
      <c r="K5" s="34">
        <f>VLOOKUP($A5,Table1[],11,FALSE)</f>
        <v>4527000</v>
      </c>
      <c r="L5" s="34">
        <f>VLOOKUP($A5,Table1[],12,FALSE)</f>
        <v>5465000</v>
      </c>
      <c r="M5" s="34">
        <f>VLOOKUP($A5,Table1[],13,FALSE)</f>
        <v>5000000</v>
      </c>
      <c r="N5" s="34">
        <f>VLOOKUP($A5,Table1[],14,FALSE)</f>
        <v>5000000</v>
      </c>
      <c r="O5" s="34">
        <f>VLOOKUP($A5,Table1[],16,FALSE)</f>
        <v>806</v>
      </c>
      <c r="P5" s="34">
        <f>VLOOKUP($A5,Table1[],17,FALSE)</f>
        <v>894</v>
      </c>
      <c r="Q5" s="34">
        <f>VLOOKUP($A5,Table1[],18,FALSE)</f>
        <v>945</v>
      </c>
      <c r="R5" s="34">
        <f>VLOOKUP($A5,Table1[],20,FALSE)</f>
        <v>620.91000000000008</v>
      </c>
      <c r="S5" s="53">
        <f>VLOOKUP($A5,Table1[],21,FALSE)</f>
        <v>0.32117880337950461</v>
      </c>
      <c r="T5">
        <f>VLOOKUP($A5,Table1[],22,FALSE)</f>
        <v>3104550000.0000005</v>
      </c>
      <c r="U5">
        <f>VLOOKUP($A5,Table1[],4,FALSE)</f>
        <v>59864.49</v>
      </c>
      <c r="V5" s="46">
        <f>VLOOKUP($A5,Table1[],24,FALSE)</f>
        <v>71</v>
      </c>
      <c r="W5" s="35">
        <f>VLOOKUP($A5,Table1[],25,FALSE)</f>
        <v>470000000</v>
      </c>
      <c r="X5" s="35">
        <f>VLOOKUP($A5,Table1[],26,FALSE)</f>
        <v>-78666250.000000134</v>
      </c>
      <c r="Y5" s="34">
        <f>VLOOKUP($A5,Table1[],27,FALSE)</f>
        <v>3025883750.0000005</v>
      </c>
      <c r="Z5" s="54">
        <f>VLOOKUP($A5,Table1[],28,FALSE)</f>
        <v>19.282823597622841</v>
      </c>
      <c r="AA5" s="34">
        <f>VLOOKUP($A5,Table1[],29,FALSE)</f>
        <v>41.03</v>
      </c>
      <c r="AB5" s="54">
        <f>VLOOKUP($A5,Table1[],30,FALSE)</f>
        <v>2.2599999999999998</v>
      </c>
      <c r="AC5" s="34">
        <f>VLOOKUP($A5,Table1[],31,FALSE)</f>
        <v>15.044247787610621</v>
      </c>
      <c r="AD5" s="53">
        <f>VLOOKUP($A5,Table1[],32,FALSE)</f>
        <v>0.16129032258064535</v>
      </c>
      <c r="AE5" s="53">
        <f>VLOOKUP($A5,Table1[],33,FALSE)</f>
        <v>0.11840000000000001</v>
      </c>
      <c r="AF5" s="53">
        <f>VLOOKUP($A5,Table1[],34,FALSE)</f>
        <v>0.27350000000000002</v>
      </c>
      <c r="AG5" s="53">
        <f>VLOOKUP($A5,Table1[],35,FALSE)</f>
        <v>0.40849999999999997</v>
      </c>
      <c r="AH5" s="54">
        <f>VLOOKUP($A5,Table1[],36,FALSE)</f>
        <v>2.8985690235690234</v>
      </c>
      <c r="AI5" s="54">
        <f>VLOOKUP($A5,Table1[],37,FALSE)</f>
        <v>1.3947811447811447</v>
      </c>
      <c r="AJ5" s="54">
        <f>VLOOKUP($A5,Table1[],38,FALSE)</f>
        <v>1.0712952594251586</v>
      </c>
      <c r="AK5" s="54">
        <f>VLOOKUP($A5,Table1[],39,FALSE)</f>
        <v>0.51721030816363311</v>
      </c>
      <c r="AL5" s="54">
        <v>58.549534820824881</v>
      </c>
    </row>
    <row r="6" spans="1:38" x14ac:dyDescent="0.25">
      <c r="A6" t="e" vm="2">
        <f>'Production &amp; FA'!B9</f>
        <v>#VALUE!</v>
      </c>
      <c r="B6" t="str">
        <f>VLOOKUP($A6,Table1[],2,FALSE)</f>
        <v>Large Cap Senior</v>
      </c>
      <c r="C6" s="46">
        <f>VLOOKUP($A6,Table1[],3,FALSE)</f>
        <v>171.48</v>
      </c>
      <c r="D6" s="34">
        <f>VLOOKUP($A6,Table1[],4,FALSE)</f>
        <v>31893.98</v>
      </c>
      <c r="E6" s="34">
        <f>VLOOKUP($A6,Table1[],5,FALSE)</f>
        <v>185992418.94098437</v>
      </c>
      <c r="F6">
        <f>VLOOKUP($A6,Table1[],6,FALSE)</f>
        <v>2.4900000000000002</v>
      </c>
      <c r="G6" s="57">
        <f>VLOOKUP($A6,Table1[],7,FALSE)</f>
        <v>1.4735E-2</v>
      </c>
      <c r="H6" s="34">
        <f>VLOOKUP($A6,Table1[],8,FALSE)</f>
        <v>864675</v>
      </c>
      <c r="I6" s="46">
        <f>VLOOKUP($A6,Table1[],9,FALSE)</f>
        <v>171.48</v>
      </c>
      <c r="J6" s="46">
        <f>VLOOKUP($A6,Table1[],10,FALSE)</f>
        <v>93.24</v>
      </c>
      <c r="K6" s="34">
        <f>VLOOKUP($A6,Table1[],11,FALSE)</f>
        <v>447902</v>
      </c>
      <c r="L6" s="34">
        <f>VLOOKUP($A6,Table1[],12,FALSE)</f>
        <v>516438</v>
      </c>
      <c r="M6" s="34">
        <f>VLOOKUP($A6,Table1[],13,FALSE)</f>
        <v>565000</v>
      </c>
      <c r="N6" s="34">
        <f>VLOOKUP($A6,Table1[],14,FALSE)</f>
        <v>565000</v>
      </c>
      <c r="O6" s="34">
        <f>VLOOKUP($A6,Table1[],16,FALSE)</f>
        <v>239</v>
      </c>
      <c r="P6" s="34">
        <f>VLOOKUP($A6,Table1[],17,FALSE)</f>
        <v>287</v>
      </c>
      <c r="Q6" s="34">
        <f>VLOOKUP($A6,Table1[],18,FALSE)</f>
        <v>344.64016736401675</v>
      </c>
      <c r="R6" s="34">
        <f>VLOOKUP($A6,Table1[],20,FALSE)</f>
        <v>1221.2698326359832</v>
      </c>
      <c r="S6" s="53">
        <f>VLOOKUP($A6,Table1[],21,FALSE)</f>
        <v>0.63172759892659636</v>
      </c>
      <c r="T6">
        <f>VLOOKUP($A6,Table1[],22,FALSE)</f>
        <v>690017455.43933058</v>
      </c>
      <c r="U6">
        <f>VLOOKUP($A6,Table1[],4,FALSE)</f>
        <v>31893.98</v>
      </c>
      <c r="V6" s="46">
        <f>VLOOKUP($A6,Table1[],24,FALSE)</f>
        <v>0</v>
      </c>
      <c r="W6" s="35">
        <f>VLOOKUP($A6,Table1[],25,FALSE)</f>
        <v>0</v>
      </c>
      <c r="X6" s="35">
        <f>VLOOKUP($A6,Table1[],26,FALSE)</f>
        <v>0</v>
      </c>
      <c r="Y6" s="34">
        <f>VLOOKUP($A6,Table1[],27,FALSE)</f>
        <v>690017455.43933058</v>
      </c>
      <c r="Z6" s="54">
        <f>VLOOKUP($A6,Table1[],28,FALSE)</f>
        <v>46.221990108486843</v>
      </c>
      <c r="AA6" s="34">
        <f>VLOOKUP($A6,Table1[],29,FALSE)</f>
        <v>96.84</v>
      </c>
      <c r="AB6" s="54">
        <f>VLOOKUP($A6,Table1[],30,FALSE)</f>
        <v>1.83</v>
      </c>
      <c r="AC6" s="34">
        <f>VLOOKUP($A6,Table1[],31,FALSE)</f>
        <v>93.704918032786878</v>
      </c>
      <c r="AD6" s="53">
        <f>VLOOKUP($A6,Table1[],32,FALSE)</f>
        <v>0.25051851851851853</v>
      </c>
      <c r="AE6" s="53">
        <f>VLOOKUP($A6,Table1[],33,FALSE)</f>
        <v>6.7400000000000002E-2</v>
      </c>
      <c r="AF6" s="53">
        <f>VLOOKUP($A6,Table1[],34,FALSE)</f>
        <v>7.0999999999999994E-2</v>
      </c>
      <c r="AG6" s="53">
        <f>VLOOKUP($A6,Table1[],35,FALSE)</f>
        <v>0.40770000000000001</v>
      </c>
      <c r="AH6" s="54">
        <f>VLOOKUP($A6,Table1[],36,FALSE)</f>
        <v>5.2641509433962268</v>
      </c>
      <c r="AI6" s="54">
        <f>VLOOKUP($A6,Table1[],37,FALSE)</f>
        <v>2.4905660377358489</v>
      </c>
      <c r="AJ6" s="54">
        <f>VLOOKUP($A6,Table1[],38,FALSE)</f>
        <v>4.3065981825365467E-2</v>
      </c>
      <c r="AK6" s="54">
        <f>VLOOKUP($A6,Table1[],39,FALSE)</f>
        <v>4.1280060594584361E-2</v>
      </c>
      <c r="AL6" s="54">
        <v>71.8</v>
      </c>
    </row>
    <row r="7" spans="1:38" x14ac:dyDescent="0.25">
      <c r="A7" t="e" vm="5">
        <f>'Production &amp; FA'!B12</f>
        <v>#VALUE!</v>
      </c>
      <c r="B7" t="str">
        <f>VLOOKUP($A7,Table1[],2,FALSE)</f>
        <v>Mid Cap Senior</v>
      </c>
      <c r="C7" s="46">
        <f>VLOOKUP($A7,Table1[],3,FALSE)</f>
        <v>9.77</v>
      </c>
      <c r="D7" s="34">
        <f>VLOOKUP($A7,Table1[],4,FALSE)</f>
        <v>2859.0729999999999</v>
      </c>
      <c r="E7" s="34">
        <f>VLOOKUP($A7,Table1[],5,FALSE)</f>
        <v>292637973.38792223</v>
      </c>
      <c r="F7">
        <f>VLOOKUP($A7,Table1[],6,FALSE)</f>
        <v>0</v>
      </c>
      <c r="G7" s="57">
        <f>VLOOKUP($A7,Table1[],7,FALSE)</f>
        <v>0</v>
      </c>
      <c r="H7" s="34">
        <f>VLOOKUP($A7,Table1[],8,FALSE)</f>
        <v>1473443</v>
      </c>
      <c r="I7" s="46">
        <f>VLOOKUP($A7,Table1[],9,FALSE)</f>
        <v>13</v>
      </c>
      <c r="J7" s="46">
        <f>VLOOKUP($A7,Table1[],10,FALSE)</f>
        <v>5.52</v>
      </c>
      <c r="K7" s="34">
        <f>VLOOKUP($A7,Table1[],11,FALSE)</f>
        <v>730000</v>
      </c>
      <c r="L7" s="34">
        <f>VLOOKUP($A7,Table1[],12,FALSE)</f>
        <v>783000</v>
      </c>
      <c r="M7" s="34">
        <f>VLOOKUP($A7,Table1[],13,FALSE)</f>
        <v>805000</v>
      </c>
      <c r="N7" s="34">
        <f>VLOOKUP($A7,Table1[],14,FALSE)</f>
        <v>805000</v>
      </c>
      <c r="O7" s="34">
        <f>VLOOKUP($A7,Table1[],16,FALSE)</f>
        <v>754</v>
      </c>
      <c r="P7" s="34">
        <f>VLOOKUP($A7,Table1[],17,FALSE)</f>
        <v>713</v>
      </c>
      <c r="Q7" s="34">
        <f>VLOOKUP($A7,Table1[],18,FALSE)</f>
        <v>845</v>
      </c>
      <c r="R7" s="34">
        <f>VLOOKUP($A7,Table1[],20,FALSE)</f>
        <v>720.91000000000008</v>
      </c>
      <c r="S7" s="53">
        <f>VLOOKUP($A7,Table1[],21,FALSE)</f>
        <v>0.37290591413299617</v>
      </c>
      <c r="T7">
        <f>VLOOKUP($A7,Table1[],22,FALSE)</f>
        <v>580332550.00000012</v>
      </c>
      <c r="U7">
        <f>VLOOKUP($A7,Table1[],4,FALSE)</f>
        <v>2859.0729999999999</v>
      </c>
      <c r="V7" s="46">
        <f>VLOOKUP($A7,Table1[],24,FALSE)</f>
        <v>11.086</v>
      </c>
      <c r="W7" s="35">
        <f>VLOOKUP($A7,Table1[],25,FALSE)</f>
        <v>85000000</v>
      </c>
      <c r="X7" s="35">
        <f>VLOOKUP($A7,Table1[],26,FALSE)</f>
        <v>9976875</v>
      </c>
      <c r="Y7" s="34">
        <f>VLOOKUP($A7,Table1[],27,FALSE)</f>
        <v>590309425.00000012</v>
      </c>
      <c r="Z7" s="54">
        <f>VLOOKUP($A7,Table1[],28,FALSE)</f>
        <v>4.9266114747484</v>
      </c>
      <c r="AA7" s="34">
        <f>VLOOKUP($A7,Table1[],29,FALSE)</f>
        <v>20.81</v>
      </c>
      <c r="AB7" s="54">
        <f>VLOOKUP($A7,Table1[],30,FALSE)</f>
        <v>-0.32</v>
      </c>
      <c r="AC7" s="34">
        <f>VLOOKUP($A7,Table1[],31,FALSE)</f>
        <v>17.22</v>
      </c>
      <c r="AD7" s="53">
        <f>VLOOKUP($A7,Table1[],32,FALSE)</f>
        <v>8.3333333333333412E-2</v>
      </c>
      <c r="AE7" s="53">
        <f>VLOOKUP($A7,Table1[],33,FALSE)</f>
        <v>-3.3799999999999997E-2</v>
      </c>
      <c r="AF7" s="53">
        <f>VLOOKUP($A7,Table1[],34,FALSE)</f>
        <v>-4.4400000000000002E-2</v>
      </c>
      <c r="AG7" s="53">
        <f>VLOOKUP($A7,Table1[],35,FALSE)</f>
        <v>-6.8000000000000005E-2</v>
      </c>
      <c r="AH7" s="54">
        <f>VLOOKUP($A7,Table1[],36,FALSE)</f>
        <v>3.8081632653061224</v>
      </c>
      <c r="AI7" s="54">
        <f>VLOOKUP($A7,Table1[],37,FALSE)</f>
        <v>0.17551020408163265</v>
      </c>
      <c r="AJ7" s="54">
        <f>VLOOKUP($A7,Table1[],38,FALSE)</f>
        <v>0.30784123910939015</v>
      </c>
      <c r="AK7" s="54">
        <f>VLOOKUP($A7,Table1[],39,FALSE)</f>
        <v>0.23538119911176905</v>
      </c>
      <c r="AL7" s="54">
        <v>73.357142857142861</v>
      </c>
    </row>
    <row r="8" spans="1:38" x14ac:dyDescent="0.25">
      <c r="A8" t="e" vm="48">
        <f>'Production &amp; FA'!B13</f>
        <v>#VALUE!</v>
      </c>
      <c r="B8" t="str">
        <f>VLOOKUP($A8,Table1[],2,FALSE)</f>
        <v>Mid Cap Senior</v>
      </c>
      <c r="C8" s="46">
        <f>VLOOKUP($A8,Table1[],3,FALSE)</f>
        <v>23.44</v>
      </c>
      <c r="D8" s="34">
        <f>VLOOKUP($A8,Table1[],4,FALSE)</f>
        <v>8714.4380000000001</v>
      </c>
      <c r="E8" s="34">
        <f>VLOOKUP($A8,Table1[],5,FALSE)</f>
        <v>371776365.18771327</v>
      </c>
      <c r="F8">
        <f>VLOOKUP($A8,Table1[],6,FALSE)</f>
        <v>0.73</v>
      </c>
      <c r="G8" s="57">
        <f>VLOOKUP($A8,Table1[],7,FALSE)</f>
        <v>3.2143999999999999E-2</v>
      </c>
      <c r="H8" s="34">
        <f>VLOOKUP($A8,Table1[],8,FALSE)</f>
        <v>5812515</v>
      </c>
      <c r="I8" s="46">
        <f>VLOOKUP($A8,Table1[],9,FALSE)</f>
        <v>23.85</v>
      </c>
      <c r="J8" s="46">
        <f>VLOOKUP($A8,Table1[],10,FALSE)</f>
        <v>11.29</v>
      </c>
      <c r="K8" s="34">
        <f>VLOOKUP($A8,Table1[],11,FALSE)</f>
        <v>3400000</v>
      </c>
      <c r="L8" s="34">
        <f>VLOOKUP($A8,Table1[],12,FALSE)</f>
        <v>3281000</v>
      </c>
      <c r="M8" s="34">
        <f>VLOOKUP($A8,Table1[],13,FALSE)</f>
        <v>3175000</v>
      </c>
      <c r="N8" s="34">
        <f>VLOOKUP($A8,Table1[],14,FALSE)</f>
        <v>3175000</v>
      </c>
      <c r="O8" s="34">
        <f>VLOOKUP($A8,Table1[],16,FALSE)</f>
        <v>976</v>
      </c>
      <c r="P8" s="34">
        <f>VLOOKUP($A8,Table1[],17,FALSE)</f>
        <v>1162</v>
      </c>
      <c r="Q8" s="34">
        <f>VLOOKUP($A8,Table1[],18,FALSE)</f>
        <v>1070</v>
      </c>
      <c r="R8" s="34">
        <f>VLOOKUP($A8,Table1[],20,FALSE)</f>
        <v>495.91000000000008</v>
      </c>
      <c r="S8" s="53">
        <f>VLOOKUP($A8,Table1[],21,FALSE)</f>
        <v>0.25651991493764009</v>
      </c>
      <c r="T8">
        <f>VLOOKUP($A8,Table1[],22,FALSE)</f>
        <v>1574514250.0000002</v>
      </c>
      <c r="U8">
        <f>VLOOKUP($A8,Table1[],4,FALSE)</f>
        <v>8714.4380000000001</v>
      </c>
      <c r="V8" s="46">
        <f>VLOOKUP($A8,Table1[],24,FALSE)</f>
        <v>27</v>
      </c>
      <c r="W8" s="35">
        <f>VLOOKUP($A8,Table1[],25,FALSE)</f>
        <v>0</v>
      </c>
      <c r="X8" s="35">
        <f>VLOOKUP($A8,Table1[],26,FALSE)</f>
        <v>0</v>
      </c>
      <c r="Y8" s="34">
        <f>VLOOKUP($A8,Table1[],27,FALSE)</f>
        <v>1574514250.0000002</v>
      </c>
      <c r="Z8" s="54">
        <f>VLOOKUP($A8,Table1[],28,FALSE)</f>
        <v>5.5346834746017688</v>
      </c>
      <c r="AA8" s="34">
        <f>VLOOKUP($A8,Table1[],29,FALSE)</f>
        <v>43.8</v>
      </c>
      <c r="AB8" s="54">
        <f>VLOOKUP($A8,Table1[],30,FALSE)</f>
        <v>-0.03</v>
      </c>
      <c r="AC8" s="34">
        <f>VLOOKUP($A8,Table1[],31,FALSE)</f>
        <v>20.45</v>
      </c>
      <c r="AD8" s="53">
        <f>VLOOKUP($A8,Table1[],32,FALSE)</f>
        <v>4.129793510324474E-2</v>
      </c>
      <c r="AE8" s="53">
        <f>VLOOKUP($A8,Table1[],33,FALSE)</f>
        <v>-1E-3</v>
      </c>
      <c r="AF8" s="53">
        <f>VLOOKUP($A8,Table1[],34,FALSE)</f>
        <v>-2.5999999999999999E-3</v>
      </c>
      <c r="AG8" s="53">
        <f>VLOOKUP($A8,Table1[],35,FALSE)</f>
        <v>-2E-3</v>
      </c>
      <c r="AH8" s="54">
        <f>VLOOKUP($A8,Table1[],36,FALSE)</f>
        <v>1.3792623521224774</v>
      </c>
      <c r="AI8" s="54">
        <f>VLOOKUP($A8,Table1[],37,FALSE)</f>
        <v>0.31732776617954073</v>
      </c>
      <c r="AJ8" s="54">
        <f>VLOOKUP($A8,Table1[],38,FALSE)</f>
        <v>1.5996212121212121</v>
      </c>
      <c r="AK8" s="54">
        <f>VLOOKUP($A8,Table1[],39,FALSE)</f>
        <v>0.61532857351012682</v>
      </c>
      <c r="AL8" s="54">
        <v>65.737609876543203</v>
      </c>
    </row>
    <row r="9" spans="1:38" x14ac:dyDescent="0.25">
      <c r="A9" t="e" vm="7">
        <f>'Production &amp; FA'!B14</f>
        <v>#VALUE!</v>
      </c>
      <c r="B9" t="str">
        <f>VLOOKUP($A9,Table1[],2,FALSE)</f>
        <v>Mid Cap Senior</v>
      </c>
      <c r="C9" s="46">
        <f>VLOOKUP($A9,Table1[],3,FALSE)</f>
        <v>8.5</v>
      </c>
      <c r="D9" s="34">
        <f>VLOOKUP($A9,Table1[],4,FALSE)</f>
        <v>10860.91</v>
      </c>
      <c r="E9" s="34">
        <f>VLOOKUP($A9,Table1[],5,FALSE)</f>
        <v>1277754117.6470587</v>
      </c>
      <c r="F9">
        <f>VLOOKUP($A9,Table1[],6,FALSE)</f>
        <v>-0.17</v>
      </c>
      <c r="G9" s="57">
        <f>VLOOKUP($A9,Table1[],7,FALSE)</f>
        <v>-1.9608E-2</v>
      </c>
      <c r="H9" s="34">
        <f>VLOOKUP($A9,Table1[],8,FALSE)</f>
        <v>9603543</v>
      </c>
      <c r="I9" s="46">
        <f>VLOOKUP($A9,Table1[],9,FALSE)</f>
        <v>8.8000000000000007</v>
      </c>
      <c r="J9" s="46">
        <f>VLOOKUP($A9,Table1[],10,FALSE)</f>
        <v>4</v>
      </c>
      <c r="K9" s="34">
        <f>VLOOKUP($A9,Table1[],11,FALSE)</f>
        <v>2452398</v>
      </c>
      <c r="L9" s="34">
        <f>VLOOKUP($A9,Table1[],12,FALSE)</f>
        <v>2507659</v>
      </c>
      <c r="M9" s="34">
        <f>VLOOKUP($A9,Table1[],13,FALSE)</f>
        <v>2400000</v>
      </c>
      <c r="N9" s="34">
        <f>VLOOKUP($A9,Table1[],14,FALSE)</f>
        <v>2400000</v>
      </c>
      <c r="O9" s="34">
        <f>VLOOKUP($A9,Table1[],16,FALSE)</f>
        <v>965</v>
      </c>
      <c r="P9" s="34">
        <f>VLOOKUP($A9,Table1[],17,FALSE)</f>
        <v>983</v>
      </c>
      <c r="Q9" s="34">
        <f>VLOOKUP($A9,Table1[],18,FALSE)</f>
        <v>970</v>
      </c>
      <c r="R9" s="34">
        <f>VLOOKUP($A9,Table1[],20,FALSE)</f>
        <v>595.91000000000008</v>
      </c>
      <c r="S9" s="53">
        <f>VLOOKUP($A9,Table1[],21,FALSE)</f>
        <v>0.30824702569113166</v>
      </c>
      <c r="T9">
        <f>VLOOKUP($A9,Table1[],22,FALSE)</f>
        <v>1430184000.0000002</v>
      </c>
      <c r="U9">
        <f>VLOOKUP($A9,Table1[],4,FALSE)</f>
        <v>10860.91</v>
      </c>
      <c r="V9" s="46">
        <f>VLOOKUP($A9,Table1[],24,FALSE)</f>
        <v>24.3</v>
      </c>
      <c r="W9" s="35">
        <f>VLOOKUP($A9,Table1[],25,FALSE)</f>
        <v>0</v>
      </c>
      <c r="X9" s="35">
        <f>VLOOKUP($A9,Table1[],26,FALSE)</f>
        <v>0</v>
      </c>
      <c r="Y9" s="34">
        <f>VLOOKUP($A9,Table1[],27,FALSE)</f>
        <v>1430184000.0000002</v>
      </c>
      <c r="Z9" s="54">
        <f>VLOOKUP($A9,Table1[],28,FALSE)</f>
        <v>7.5940648196315976</v>
      </c>
      <c r="AA9" s="34">
        <f>VLOOKUP($A9,Table1[],29,FALSE)</f>
        <v>34.49</v>
      </c>
      <c r="AB9" s="54">
        <f>VLOOKUP($A9,Table1[],30,FALSE)</f>
        <v>0.56999999999999995</v>
      </c>
      <c r="AC9" s="34">
        <f>VLOOKUP($A9,Table1[],31,FALSE)</f>
        <v>14.912280701754387</v>
      </c>
      <c r="AD9" s="53">
        <f>VLOOKUP($A9,Table1[],32,FALSE)</f>
        <v>0.20000000000000018</v>
      </c>
      <c r="AE9" s="53">
        <f>VLOOKUP($A9,Table1[],33,FALSE)</f>
        <v>8.3900000000000002E-2</v>
      </c>
      <c r="AF9" s="53">
        <f>VLOOKUP($A9,Table1[],34,FALSE)</f>
        <v>0.14630000000000001</v>
      </c>
      <c r="AG9" s="53">
        <f>VLOOKUP($A9,Table1[],35,FALSE)</f>
        <v>0.20549999999999999</v>
      </c>
      <c r="AH9" s="54">
        <f>VLOOKUP($A9,Table1[],36,FALSE)</f>
        <v>2.9626623376623376</v>
      </c>
      <c r="AI9" s="54">
        <f>VLOOKUP($A9,Table1[],37,FALSE)</f>
        <v>0.93344155844155841</v>
      </c>
      <c r="AJ9" s="54">
        <f>VLOOKUP($A9,Table1[],38,FALSE)</f>
        <v>0.70652378266591465</v>
      </c>
      <c r="AK9" s="54">
        <f>VLOOKUP($A9,Table1[],39,FALSE)</f>
        <v>0.41405905685323929</v>
      </c>
      <c r="AL9" s="54">
        <v>70.135273267521782</v>
      </c>
    </row>
    <row r="10" spans="1:38" x14ac:dyDescent="0.25">
      <c r="A10" t="e" vm="39">
        <f>'Production &amp; FA'!B15</f>
        <v>#VALUE!</v>
      </c>
      <c r="B10" t="str">
        <f>VLOOKUP($A10,Table1[],2,FALSE)</f>
        <v>Mid Cap Senior</v>
      </c>
      <c r="C10" s="46">
        <f>VLOOKUP($A10,Table1[],3,FALSE)</f>
        <v>6.43</v>
      </c>
      <c r="D10" s="34">
        <f>VLOOKUP($A10,Table1[],4,FALSE)</f>
        <v>6529.8580000000002</v>
      </c>
      <c r="E10" s="34">
        <f>VLOOKUP($A10,Table1[],5,FALSE)</f>
        <v>1015530015.5520996</v>
      </c>
      <c r="F10">
        <f>VLOOKUP($A10,Table1[],6,FALSE)</f>
        <v>7.0000000000000007E-2</v>
      </c>
      <c r="G10" s="57">
        <f>VLOOKUP($A10,Table1[],7,FALSE)</f>
        <v>1.1006E-2</v>
      </c>
      <c r="H10" s="34">
        <f>VLOOKUP($A10,Table1[],8,FALSE)</f>
        <v>13219914</v>
      </c>
      <c r="I10" s="46">
        <f>VLOOKUP($A10,Table1[],9,FALSE)</f>
        <v>6.51</v>
      </c>
      <c r="J10" s="46">
        <f>VLOOKUP($A10,Table1[],10,FALSE)</f>
        <v>3.12</v>
      </c>
      <c r="K10" s="34">
        <f>VLOOKUP($A10,Table1[],11,FALSE)</f>
        <v>953504</v>
      </c>
      <c r="L10" s="34">
        <f>VLOOKUP($A10,Table1[],12,FALSE)</f>
        <v>980219</v>
      </c>
      <c r="M10" s="34">
        <f>VLOOKUP($A10,Table1[],13,FALSE)</f>
        <v>1027500</v>
      </c>
      <c r="N10" s="34">
        <f>VLOOKUP($A10,Table1[],14,FALSE)</f>
        <v>1027500</v>
      </c>
      <c r="O10" s="34">
        <f>VLOOKUP($A10,Table1[],16,FALSE)</f>
        <v>758</v>
      </c>
      <c r="P10" s="34">
        <f>VLOOKUP($A10,Table1[],17,FALSE)</f>
        <v>862</v>
      </c>
      <c r="Q10" s="34">
        <f>VLOOKUP($A10,Table1[],18,FALSE)</f>
        <v>800</v>
      </c>
      <c r="R10" s="34">
        <f>VLOOKUP($A10,Table1[],20,FALSE)</f>
        <v>765.91000000000008</v>
      </c>
      <c r="S10" s="53">
        <f>VLOOKUP($A10,Table1[],21,FALSE)</f>
        <v>0.3961831139720674</v>
      </c>
      <c r="T10">
        <f>VLOOKUP($A10,Table1[],22,FALSE)</f>
        <v>786972525.00000012</v>
      </c>
      <c r="U10">
        <f>VLOOKUP($A10,Table1[],4,FALSE)</f>
        <v>6529.8580000000002</v>
      </c>
      <c r="V10" s="46">
        <f>VLOOKUP($A10,Table1[],24,FALSE)</f>
        <v>5.82</v>
      </c>
      <c r="W10" s="35">
        <f>VLOOKUP($A10,Table1[],25,FALSE)</f>
        <v>0</v>
      </c>
      <c r="X10" s="35">
        <f>VLOOKUP($A10,Table1[],26,FALSE)</f>
        <v>0</v>
      </c>
      <c r="Y10" s="34">
        <f>VLOOKUP($A10,Table1[],27,FALSE)</f>
        <v>786972525.00000012</v>
      </c>
      <c r="Z10" s="54">
        <f>VLOOKUP($A10,Table1[],28,FALSE)</f>
        <v>8.2974408795275281</v>
      </c>
      <c r="AA10" s="34">
        <f>VLOOKUP($A10,Table1[],29,FALSE)</f>
        <v>398.85</v>
      </c>
      <c r="AB10" s="54">
        <f>VLOOKUP($A10,Table1[],30,FALSE)</f>
        <v>0.28999999999999998</v>
      </c>
      <c r="AC10" s="34">
        <f>VLOOKUP($A10,Table1[],31,FALSE)</f>
        <v>22.172413793103448</v>
      </c>
      <c r="AD10" s="53">
        <f>VLOOKUP($A10,Table1[],32,FALSE)</f>
        <v>0.81249999999999989</v>
      </c>
      <c r="AE10" s="53">
        <f>VLOOKUP($A10,Table1[],33,FALSE)</f>
        <v>0.112</v>
      </c>
      <c r="AF10" s="53">
        <f>VLOOKUP($A10,Table1[],34,FALSE)</f>
        <v>0.16289999999999999</v>
      </c>
      <c r="AG10" s="53">
        <f>VLOOKUP($A10,Table1[],35,FALSE)</f>
        <v>0.25390000000000001</v>
      </c>
      <c r="AH10" s="54">
        <f>VLOOKUP($A10,Table1[],36,FALSE)</f>
        <v>2.4666666666666668</v>
      </c>
      <c r="AI10" s="54">
        <f>VLOOKUP($A10,Table1[],37,FALSE)</f>
        <v>0.8545454545454545</v>
      </c>
      <c r="AJ10" s="54">
        <f>VLOOKUP($A10,Table1[],38,FALSE)</f>
        <v>0.34824120603015074</v>
      </c>
      <c r="AK10" s="54">
        <f>VLOOKUP($A10,Table1[],39,FALSE)</f>
        <v>0.25829295564666416</v>
      </c>
      <c r="AL10" s="54">
        <v>45.354572834994777</v>
      </c>
    </row>
    <row r="11" spans="1:38" x14ac:dyDescent="0.25">
      <c r="A11" t="e" vm="52">
        <f>'Production &amp; FA'!B16</f>
        <v>#VALUE!</v>
      </c>
      <c r="B11" t="str">
        <f>VLOOKUP($A11,Table1[],2,FALSE)</f>
        <v>Mid Cap Senior</v>
      </c>
      <c r="C11" s="46">
        <f>VLOOKUP($A11,Table1[],3,FALSE)</f>
        <v>5.92</v>
      </c>
      <c r="D11" s="34">
        <f>VLOOKUP($A11,Table1[],4,FALSE)</f>
        <v>5471.223</v>
      </c>
      <c r="E11" s="34">
        <f>VLOOKUP($A11,Table1[],5,FALSE)</f>
        <v>924193074.32432437</v>
      </c>
      <c r="F11">
        <f>VLOOKUP($A11,Table1[],6,FALSE)</f>
        <v>0.15</v>
      </c>
      <c r="G11" s="57">
        <f>VLOOKUP($A11,Table1[],7,FALSE)</f>
        <v>2.5996999999999999E-2</v>
      </c>
      <c r="H11" s="34">
        <f>VLOOKUP($A11,Table1[],8,FALSE)</f>
        <v>11375278</v>
      </c>
      <c r="I11" s="46">
        <f>VLOOKUP($A11,Table1[],9,FALSE)</f>
        <v>6.56</v>
      </c>
      <c r="J11" s="46">
        <f>VLOOKUP($A11,Table1[],10,FALSE)</f>
        <v>2.41</v>
      </c>
      <c r="K11" s="34">
        <f>VLOOKUP($A11,Table1[],11,FALSE)</f>
        <v>1133635</v>
      </c>
      <c r="L11" s="34">
        <f>VLOOKUP($A11,Table1[],12,FALSE)</f>
        <v>1024454</v>
      </c>
      <c r="M11" s="34">
        <f>VLOOKUP($A11,Table1[],13,FALSE)</f>
        <v>990000</v>
      </c>
      <c r="N11" s="34">
        <f>VLOOKUP($A11,Table1[],14,FALSE)</f>
        <v>990000</v>
      </c>
      <c r="O11" s="34">
        <f>VLOOKUP($A11,Table1[],16,FALSE)</f>
        <v>971</v>
      </c>
      <c r="P11" s="34">
        <f>VLOOKUP($A11,Table1[],17,FALSE)</f>
        <v>978</v>
      </c>
      <c r="Q11" s="34">
        <f>VLOOKUP($A11,Table1[],18,FALSE)</f>
        <v>999</v>
      </c>
      <c r="R11" s="34">
        <f>VLOOKUP($A11,Table1[],20,FALSE)</f>
        <v>566.91000000000008</v>
      </c>
      <c r="S11" s="53">
        <f>VLOOKUP($A11,Table1[],21,FALSE)</f>
        <v>0.29324616357261918</v>
      </c>
      <c r="T11">
        <f>VLOOKUP($A11,Table1[],22,FALSE)</f>
        <v>561240900.00000012</v>
      </c>
      <c r="U11">
        <f>VLOOKUP($A11,Table1[],4,FALSE)</f>
        <v>5471.223</v>
      </c>
      <c r="V11" s="46">
        <f>VLOOKUP($A11,Table1[],24,FALSE)</f>
        <v>7.8</v>
      </c>
      <c r="W11" s="35">
        <f>VLOOKUP($A11,Table1[],25,FALSE)</f>
        <v>0</v>
      </c>
      <c r="X11" s="35">
        <f>VLOOKUP($A11,Table1[],26,FALSE)</f>
        <v>0</v>
      </c>
      <c r="Y11" s="34">
        <f>VLOOKUP($A11,Table1[],27,FALSE)</f>
        <v>561240900.00000012</v>
      </c>
      <c r="Z11" s="54">
        <f>VLOOKUP($A11,Table1[],28,FALSE)</f>
        <v>9.7484395738086782</v>
      </c>
      <c r="AA11" s="34">
        <f>VLOOKUP($A11,Table1[],29,FALSE)</f>
        <v>24.59</v>
      </c>
      <c r="AB11" s="54">
        <f>VLOOKUP($A11,Table1[],30,FALSE)</f>
        <v>0.24</v>
      </c>
      <c r="AC11" s="34">
        <f>VLOOKUP($A11,Table1[],31,FALSE)</f>
        <v>24.666666666666668</v>
      </c>
      <c r="AD11" s="53">
        <f>VLOOKUP($A11,Table1[],32,FALSE)</f>
        <v>-0.10555555555555553</v>
      </c>
      <c r="AE11" s="53">
        <f>VLOOKUP($A11,Table1[],33,FALSE)</f>
        <v>2.98E-2</v>
      </c>
      <c r="AF11" s="53">
        <f>VLOOKUP($A11,Table1[],34,FALSE)</f>
        <v>5.5199999999999999E-2</v>
      </c>
      <c r="AG11" s="53">
        <f>VLOOKUP($A11,Table1[],35,FALSE)</f>
        <v>0.1399</v>
      </c>
      <c r="AH11" s="54">
        <f>VLOOKUP($A11,Table1[],36,FALSE)</f>
        <v>0.98432908912830563</v>
      </c>
      <c r="AI11" s="54">
        <f>VLOOKUP($A11,Table1[],37,FALSE)</f>
        <v>0.38883447600391779</v>
      </c>
      <c r="AJ11" s="54">
        <f>VLOOKUP($A11,Table1[],38,FALSE)</f>
        <v>0.6865802507168417</v>
      </c>
      <c r="AK11" s="54">
        <f>VLOOKUP($A11,Table1[],39,FALSE)</f>
        <v>0.40708424661383696</v>
      </c>
      <c r="AL11" s="54">
        <v>66.715699999999998</v>
      </c>
    </row>
    <row r="12" spans="1:38" x14ac:dyDescent="0.25">
      <c r="A12" t="e" vm="55">
        <f>'Production &amp; FA'!B17</f>
        <v>#VALUE!</v>
      </c>
      <c r="B12" t="str">
        <f>VLOOKUP($A12,Table1[],2,FALSE)</f>
        <v>Mid Cap Senior</v>
      </c>
      <c r="C12" s="46">
        <f>VLOOKUP($A12,Table1[],3,FALSE)</f>
        <v>10.94</v>
      </c>
      <c r="D12" s="34">
        <f>VLOOKUP($A12,Table1[],4,FALSE)</f>
        <v>2039.2380000000001</v>
      </c>
      <c r="E12" s="34">
        <f>VLOOKUP($A12,Table1[],5,FALSE)</f>
        <v>186402010.96892139</v>
      </c>
      <c r="F12">
        <f>VLOOKUP($A12,Table1[],6,FALSE)</f>
        <v>-0.06</v>
      </c>
      <c r="G12" s="57">
        <f>VLOOKUP($A12,Table1[],7,FALSE)</f>
        <v>-5.4549999999999998E-3</v>
      </c>
      <c r="H12" s="34">
        <f>VLOOKUP($A12,Table1[],8,FALSE)</f>
        <v>1029446</v>
      </c>
      <c r="I12" s="46">
        <f>VLOOKUP($A12,Table1[],9,FALSE)</f>
        <v>18.295000000000002</v>
      </c>
      <c r="J12" s="46">
        <f>VLOOKUP($A12,Table1[],10,FALSE)</f>
        <v>6.25</v>
      </c>
      <c r="K12" s="34">
        <f>VLOOKUP($A12,Table1[],11,FALSE)</f>
        <v>367428</v>
      </c>
      <c r="L12" s="34">
        <f>VLOOKUP($A12,Table1[],12,FALSE)</f>
        <v>351348</v>
      </c>
      <c r="M12" s="34">
        <f>VLOOKUP($A12,Table1[],13,FALSE)</f>
        <v>345000</v>
      </c>
      <c r="N12" s="34">
        <f>VLOOKUP($A12,Table1[],14,FALSE)</f>
        <v>345000</v>
      </c>
      <c r="O12" s="34">
        <f>VLOOKUP($A12,Table1[],16,FALSE)</f>
        <v>745</v>
      </c>
      <c r="P12" s="34">
        <f>VLOOKUP($A12,Table1[],17,FALSE)</f>
        <v>888</v>
      </c>
      <c r="Q12" s="34">
        <f>VLOOKUP($A12,Table1[],18,FALSE)</f>
        <v>985</v>
      </c>
      <c r="R12" s="34">
        <f>VLOOKUP($A12,Table1[],20,FALSE)</f>
        <v>580.91000000000008</v>
      </c>
      <c r="S12" s="53">
        <f>VLOOKUP($A12,Table1[],21,FALSE)</f>
        <v>0.30048795907810799</v>
      </c>
      <c r="T12">
        <f>VLOOKUP($A12,Table1[],22,FALSE)</f>
        <v>200413950.00000003</v>
      </c>
      <c r="U12">
        <f>VLOOKUP($A12,Table1[],4,FALSE)</f>
        <v>2039.2380000000001</v>
      </c>
      <c r="V12" s="46">
        <f>VLOOKUP($A12,Table1[],24,FALSE)</f>
        <v>3.6</v>
      </c>
      <c r="W12" s="35">
        <f>VLOOKUP($A12,Table1[],25,FALSE)</f>
        <v>0</v>
      </c>
      <c r="X12" s="35">
        <f>VLOOKUP($A12,Table1[],26,FALSE)</f>
        <v>0</v>
      </c>
      <c r="Y12" s="34">
        <f>VLOOKUP($A12,Table1[],27,FALSE)</f>
        <v>200413950.00000003</v>
      </c>
      <c r="Z12" s="54">
        <f>VLOOKUP($A12,Table1[],28,FALSE)</f>
        <v>10.175130024631518</v>
      </c>
      <c r="AA12" s="34">
        <f>VLOOKUP($A12,Table1[],29,FALSE)</f>
        <v>92.18</v>
      </c>
      <c r="AB12" s="54">
        <f>VLOOKUP($A12,Table1[],30,FALSE)</f>
        <v>0.22</v>
      </c>
      <c r="AC12" s="34">
        <f>VLOOKUP($A12,Table1[],31,FALSE)</f>
        <v>49.727272727272727</v>
      </c>
      <c r="AD12" s="53">
        <f>VLOOKUP($A12,Table1[],32,FALSE)</f>
        <v>1.7247191011235956</v>
      </c>
      <c r="AE12" s="53">
        <f>VLOOKUP($A12,Table1[],33,FALSE)</f>
        <v>2.5700000000000001E-2</v>
      </c>
      <c r="AF12" s="53">
        <f>VLOOKUP($A12,Table1[],34,FALSE)</f>
        <v>4.41E-2</v>
      </c>
      <c r="AG12" s="53">
        <f>VLOOKUP($A12,Table1[],35,FALSE)</f>
        <v>8.4400000000000003E-2</v>
      </c>
      <c r="AH12" s="54">
        <f>VLOOKUP($A12,Table1[],36,FALSE)</f>
        <v>0.48837209302325579</v>
      </c>
      <c r="AI12" s="54">
        <f>VLOOKUP($A12,Table1[],37,FALSE)</f>
        <v>0.17829457364341086</v>
      </c>
      <c r="AJ12" s="54">
        <f>VLOOKUP($A12,Table1[],38,FALSE)</f>
        <v>0.64884696016771493</v>
      </c>
      <c r="AK12" s="54">
        <f>VLOOKUP($A12,Table1[],39,FALSE)</f>
        <v>0.39351557533375714</v>
      </c>
      <c r="AL12" s="54">
        <v>81</v>
      </c>
    </row>
    <row r="13" spans="1:38" x14ac:dyDescent="0.25">
      <c r="A13" t="e" vm="6">
        <f>'Production &amp; FA'!B18</f>
        <v>#VALUE!</v>
      </c>
      <c r="B13" t="str">
        <f>VLOOKUP($A13,Table1[],2,FALSE)</f>
        <v>Mid Cap Senior</v>
      </c>
      <c r="C13" s="46">
        <f>VLOOKUP($A13,Table1[],3,FALSE)</f>
        <v>6.79</v>
      </c>
      <c r="D13" s="34">
        <f>VLOOKUP($A13,Table1[],4,FALSE)</f>
        <v>3750.355</v>
      </c>
      <c r="E13" s="34">
        <f>VLOOKUP($A13,Table1[],5,FALSE)</f>
        <v>552335051.54639173</v>
      </c>
      <c r="F13">
        <f>VLOOKUP($A13,Table1[],6,FALSE)</f>
        <v>-0.14000000000000001</v>
      </c>
      <c r="G13" s="57">
        <f>VLOOKUP($A13,Table1[],7,FALSE)</f>
        <v>-2.0202000000000001E-2</v>
      </c>
      <c r="H13" s="34">
        <f>VLOOKUP($A13,Table1[],8,FALSE)</f>
        <v>5215829</v>
      </c>
      <c r="I13" s="46">
        <f>VLOOKUP($A13,Table1[],9,FALSE)</f>
        <v>7.7750000000000004</v>
      </c>
      <c r="J13" s="46">
        <f>VLOOKUP($A13,Table1[],10,FALSE)</f>
        <v>3.34</v>
      </c>
      <c r="K13" s="34">
        <f>VLOOKUP($A13,Table1[],11,FALSE)</f>
        <v>505000</v>
      </c>
      <c r="L13" s="34">
        <f>VLOOKUP($A13,Table1[],12,FALSE)</f>
        <v>495500</v>
      </c>
      <c r="M13" s="34">
        <f>VLOOKUP($A13,Table1[],13,FALSE)</f>
        <v>445000</v>
      </c>
      <c r="N13" s="34">
        <f>VLOOKUP($A13,Table1[],14,FALSE)</f>
        <v>445000</v>
      </c>
      <c r="O13" s="34">
        <f>VLOOKUP($A13,Table1[],16,FALSE)</f>
        <v>989</v>
      </c>
      <c r="P13" s="34">
        <f>VLOOKUP($A13,Table1[],17,FALSE)</f>
        <v>951</v>
      </c>
      <c r="Q13" s="34">
        <f>VLOOKUP($A13,Table1[],18,FALSE)</f>
        <v>1040</v>
      </c>
      <c r="R13" s="34">
        <f>VLOOKUP($A13,Table1[],20,FALSE)</f>
        <v>525.91000000000008</v>
      </c>
      <c r="S13" s="53">
        <f>VLOOKUP($A13,Table1[],21,FALSE)</f>
        <v>0.2720380481636876</v>
      </c>
      <c r="T13">
        <f>VLOOKUP($A13,Table1[],22,FALSE)</f>
        <v>234029950.00000003</v>
      </c>
      <c r="U13">
        <f>VLOOKUP($A13,Table1[],4,FALSE)</f>
        <v>3750.355</v>
      </c>
      <c r="V13" s="46">
        <f>VLOOKUP($A13,Table1[],24,FALSE)</f>
        <v>9.7260000000000009</v>
      </c>
      <c r="W13" s="35">
        <f>VLOOKUP($A13,Table1[],25,FALSE)</f>
        <v>0</v>
      </c>
      <c r="X13" s="35">
        <f>VLOOKUP($A13,Table1[],26,FALSE)</f>
        <v>0</v>
      </c>
      <c r="Y13" s="34">
        <f>VLOOKUP($A13,Table1[],27,FALSE)</f>
        <v>234029950.00000003</v>
      </c>
      <c r="Z13" s="54">
        <f>VLOOKUP($A13,Table1[],28,FALSE)</f>
        <v>16.025107042923349</v>
      </c>
      <c r="AA13" s="34">
        <f>VLOOKUP($A13,Table1[],29,FALSE)</f>
        <v>31.32</v>
      </c>
      <c r="AB13" s="54">
        <f>VLOOKUP($A13,Table1[],30,FALSE)</f>
        <v>0.25</v>
      </c>
      <c r="AC13" s="34">
        <f>VLOOKUP($A13,Table1[],31,FALSE)</f>
        <v>27.16</v>
      </c>
      <c r="AD13" s="53">
        <f>VLOOKUP($A13,Table1[],32,FALSE)</f>
        <v>0.25847457627118658</v>
      </c>
      <c r="AE13" s="53">
        <f>VLOOKUP($A13,Table1[],33,FALSE)</f>
        <v>2.8899999999999999E-2</v>
      </c>
      <c r="AF13" s="53">
        <f>VLOOKUP($A13,Table1[],34,FALSE)</f>
        <v>3.6299999999999999E-2</v>
      </c>
      <c r="AG13" s="53">
        <f>VLOOKUP($A13,Table1[],35,FALSE)</f>
        <v>0.14069999999999999</v>
      </c>
      <c r="AH13" s="54">
        <f>VLOOKUP($A13,Table1[],36,FALSE)</f>
        <v>3.1023622047244093</v>
      </c>
      <c r="AI13" s="54">
        <f>VLOOKUP($A13,Table1[],37,FALSE)</f>
        <v>1.4409448818897639</v>
      </c>
      <c r="AJ13" s="54">
        <f>VLOOKUP($A13,Table1[],38,FALSE)</f>
        <v>0.26011131725417441</v>
      </c>
      <c r="AK13" s="54">
        <f>VLOOKUP($A13,Table1[],39,FALSE)</f>
        <v>0.20635855166323228</v>
      </c>
      <c r="AL13" s="54">
        <v>74.234820982514577</v>
      </c>
    </row>
    <row r="14" spans="1:38" x14ac:dyDescent="0.25">
      <c r="A14" t="e" vm="1">
        <f>'Production &amp; FA'!B21</f>
        <v>#VALUE!</v>
      </c>
      <c r="B14" t="str">
        <f>VLOOKUP($A14,Table1[],2,FALSE)</f>
        <v>Small Cap Senior</v>
      </c>
      <c r="C14" s="46">
        <f>VLOOKUP($A14,Table1[],3,FALSE)</f>
        <v>2.61</v>
      </c>
      <c r="D14" s="34">
        <f>VLOOKUP($A14,Table1[],4,FALSE)</f>
        <v>1583.9780000000001</v>
      </c>
      <c r="E14" s="34">
        <f>VLOOKUP($A14,Table1[],5,FALSE)</f>
        <v>606888122.60536397</v>
      </c>
      <c r="F14">
        <f>VLOOKUP($A14,Table1[],6,FALSE)</f>
        <v>0.01</v>
      </c>
      <c r="G14" s="57">
        <f>VLOOKUP($A14,Table1[],7,FALSE)</f>
        <v>3.846E-3</v>
      </c>
      <c r="H14" s="34">
        <f>VLOOKUP($A14,Table1[],8,FALSE)</f>
        <v>218150</v>
      </c>
      <c r="I14" s="46">
        <f>VLOOKUP($A14,Table1[],9,FALSE)</f>
        <v>2.66</v>
      </c>
      <c r="J14" s="46">
        <f>VLOOKUP($A14,Table1[],10,FALSE)</f>
        <v>1.39</v>
      </c>
      <c r="K14" s="34">
        <f>VLOOKUP($A14,Table1[],11,FALSE)</f>
        <v>472418</v>
      </c>
      <c r="L14" s="34">
        <f>VLOOKUP($A14,Table1[],12,FALSE)</f>
        <v>480529</v>
      </c>
      <c r="M14" s="34">
        <f>VLOOKUP($A14,Table1[],13,FALSE)</f>
        <v>525000</v>
      </c>
      <c r="N14" s="34">
        <f>VLOOKUP($A14,Table1[],14,FALSE)</f>
        <v>525000</v>
      </c>
      <c r="O14" s="34">
        <f>VLOOKUP($A14,Table1[],16,FALSE)</f>
        <v>884</v>
      </c>
      <c r="P14" s="34">
        <f>VLOOKUP($A14,Table1[],17,FALSE)</f>
        <v>943</v>
      </c>
      <c r="Q14" s="34">
        <f>VLOOKUP($A14,Table1[],18,FALSE)</f>
        <v>895</v>
      </c>
      <c r="R14" s="34">
        <f>VLOOKUP($A14,Table1[],20,FALSE)</f>
        <v>670.91000000000008</v>
      </c>
      <c r="S14" s="53">
        <f>VLOOKUP($A14,Table1[],21,FALSE)</f>
        <v>0.34704235875625039</v>
      </c>
      <c r="T14">
        <f>VLOOKUP($A14,Table1[],22,FALSE)</f>
        <v>352227750.00000006</v>
      </c>
      <c r="U14">
        <f>VLOOKUP($A14,Table1[],4,FALSE)</f>
        <v>1583.9780000000001</v>
      </c>
      <c r="V14" s="46">
        <f>VLOOKUP($A14,Table1[],24,FALSE)</f>
        <v>7.25</v>
      </c>
      <c r="W14" s="35">
        <f>VLOOKUP($A14,Table1[],25,FALSE)</f>
        <v>0</v>
      </c>
      <c r="X14" s="35">
        <f>VLOOKUP($A14,Table1[],26,FALSE)</f>
        <v>0</v>
      </c>
      <c r="Y14" s="34">
        <f>VLOOKUP($A14,Table1[],27,FALSE)</f>
        <v>352227750.00000006</v>
      </c>
      <c r="Z14" s="54">
        <f>VLOOKUP($A14,Table1[],28,FALSE)</f>
        <v>4.4970278463295399</v>
      </c>
      <c r="AA14" s="34">
        <f>VLOOKUP($A14,Table1[],29,FALSE)</f>
        <v>35.33</v>
      </c>
      <c r="AB14" s="54">
        <f>VLOOKUP($A14,Table1[],30,FALSE)</f>
        <v>7.0000000000000007E-2</v>
      </c>
      <c r="AC14" s="34">
        <f>VLOOKUP($A14,Table1[],31,FALSE)</f>
        <v>37.285714285714278</v>
      </c>
      <c r="AD14" s="53">
        <f>VLOOKUP($A14,Table1[],32,FALSE)</f>
        <v>-5.1048167706833139E-2</v>
      </c>
      <c r="AE14" s="53">
        <f>VLOOKUP($A14,Table1[],33,FALSE)</f>
        <v>0.04</v>
      </c>
      <c r="AF14" s="53">
        <f>VLOOKUP($A14,Table1[],34,FALSE)</f>
        <v>4.19E-2</v>
      </c>
      <c r="AG14" s="53">
        <f>VLOOKUP($A14,Table1[],35,FALSE)</f>
        <v>8.9800000000000005E-2</v>
      </c>
      <c r="AH14" s="54">
        <f>VLOOKUP($A14,Table1[],36,FALSE)</f>
        <v>8.9361702127659566</v>
      </c>
      <c r="AI14" s="54">
        <f>VLOOKUP($A14,Table1[],37,FALSE)</f>
        <v>6.0212765957446805</v>
      </c>
      <c r="AJ14" s="54">
        <f>VLOOKUP($A14,Table1[],38,FALSE)</f>
        <v>4.73970473970474E-2</v>
      </c>
      <c r="AK14" s="54">
        <f>VLOOKUP($A14,Table1[],39,FALSE)</f>
        <v>4.5252225519287835E-2</v>
      </c>
      <c r="AL14" s="54">
        <v>70</v>
      </c>
    </row>
    <row r="15" spans="1:38" x14ac:dyDescent="0.25">
      <c r="A15" t="e" vm="41">
        <f>'Production &amp; FA'!B22</f>
        <v>#VALUE!</v>
      </c>
      <c r="B15" t="str">
        <f>VLOOKUP($A15,Table1[],2,FALSE)</f>
        <v>Small Cap Senior</v>
      </c>
      <c r="C15" s="46">
        <f>VLOOKUP($A15,Table1[],3,FALSE)</f>
        <v>11.96</v>
      </c>
      <c r="D15" s="34">
        <f>VLOOKUP($A15,Table1[],4,FALSE)</f>
        <v>1990.627</v>
      </c>
      <c r="E15" s="34">
        <f>VLOOKUP($A15,Table1[],5,FALSE)</f>
        <v>166440384.61538461</v>
      </c>
      <c r="F15">
        <f>VLOOKUP($A15,Table1[],6,FALSE)</f>
        <v>-0.15</v>
      </c>
      <c r="G15" s="57">
        <f>VLOOKUP($A15,Table1[],7,FALSE)</f>
        <v>-1.2385999999999999E-2</v>
      </c>
      <c r="H15" s="34">
        <f>VLOOKUP($A15,Table1[],8,FALSE)</f>
        <v>2025737</v>
      </c>
      <c r="I15" s="46">
        <f>VLOOKUP($A15,Table1[],9,FALSE)</f>
        <v>14.99</v>
      </c>
      <c r="J15" s="46">
        <f>VLOOKUP($A15,Table1[],10,FALSE)</f>
        <v>4.0999999999999996</v>
      </c>
      <c r="K15" s="34">
        <f>VLOOKUP($A15,Table1[],11,FALSE)</f>
        <v>313797</v>
      </c>
      <c r="L15" s="34">
        <f>VLOOKUP($A15,Table1[],12,FALSE)</f>
        <v>395331</v>
      </c>
      <c r="M15" s="34">
        <f>VLOOKUP($A15,Table1[],13,FALSE)</f>
        <v>535000</v>
      </c>
      <c r="N15" s="34">
        <f>VLOOKUP($A15,Table1[],14,FALSE)</f>
        <v>535000</v>
      </c>
      <c r="O15" s="34">
        <f>VLOOKUP($A15,Table1[],16,FALSE)</f>
        <v>994</v>
      </c>
      <c r="P15" s="34">
        <f>VLOOKUP($A15,Table1[],17,FALSE)</f>
        <v>1034</v>
      </c>
      <c r="Q15" s="34">
        <f>VLOOKUP($A15,Table1[],18,FALSE)</f>
        <v>900</v>
      </c>
      <c r="R15" s="34">
        <f>VLOOKUP($A15,Table1[],20,FALSE)</f>
        <v>665.91000000000008</v>
      </c>
      <c r="S15" s="53">
        <f>VLOOKUP($A15,Table1[],21,FALSE)</f>
        <v>0.34445600321857583</v>
      </c>
      <c r="T15">
        <f>VLOOKUP($A15,Table1[],22,FALSE)</f>
        <v>356261850.00000006</v>
      </c>
      <c r="U15">
        <f>VLOOKUP($A15,Table1[],4,FALSE)</f>
        <v>1990.627</v>
      </c>
      <c r="V15" s="46">
        <f>VLOOKUP($A15,Table1[],24,FALSE)</f>
        <v>16.359000000000002</v>
      </c>
      <c r="W15" s="35">
        <f>VLOOKUP($A15,Table1[],25,FALSE)</f>
        <v>0</v>
      </c>
      <c r="X15" s="35">
        <f>VLOOKUP($A15,Table1[],26,FALSE)</f>
        <v>0</v>
      </c>
      <c r="Y15" s="34">
        <f>VLOOKUP($A15,Table1[],27,FALSE)</f>
        <v>356261850.00000006</v>
      </c>
      <c r="Z15" s="54">
        <f>VLOOKUP($A15,Table1[],28,FALSE)</f>
        <v>5.5875390530869353</v>
      </c>
      <c r="AA15" s="34">
        <f>VLOOKUP($A15,Table1[],29,FALSE)</f>
        <v>20.450980392156861</v>
      </c>
      <c r="AB15" s="54">
        <f>VLOOKUP($A15,Table1[],30,FALSE)</f>
        <v>0.51</v>
      </c>
      <c r="AC15" s="34">
        <f>VLOOKUP($A15,Table1[],31,FALSE)</f>
        <v>23.450980392156865</v>
      </c>
      <c r="AD15" s="53">
        <f>VLOOKUP($A15,Table1[],32,FALSE)</f>
        <v>0.58056265984654731</v>
      </c>
      <c r="AE15" s="53">
        <f>VLOOKUP($A15,Table1[],33,FALSE)</f>
        <v>1.7399999999999999E-2</v>
      </c>
      <c r="AF15" s="53">
        <f>VLOOKUP($A15,Table1[],34,FALSE)</f>
        <v>2.41E-2</v>
      </c>
      <c r="AG15" s="53">
        <f>VLOOKUP($A15,Table1[],35,FALSE)</f>
        <v>0.13039999999999999</v>
      </c>
      <c r="AH15" s="54">
        <f>VLOOKUP($A15,Table1[],36,FALSE)</f>
        <v>1.9639639639639639</v>
      </c>
      <c r="AI15" s="54">
        <f>VLOOKUP($A15,Table1[],37,FALSE)</f>
        <v>0.80180180180180183</v>
      </c>
      <c r="AJ15" s="54">
        <f>VLOOKUP($A15,Table1[],38,FALSE)</f>
        <v>0.36134699853587116</v>
      </c>
      <c r="AK15" s="54">
        <f>VLOOKUP($A15,Table1[],39,FALSE)</f>
        <v>0.26543342654334268</v>
      </c>
      <c r="AL15" s="54">
        <v>78.540656326695853</v>
      </c>
    </row>
    <row r="16" spans="1:38" x14ac:dyDescent="0.25">
      <c r="A16" t="e" vm="3">
        <f>'Production &amp; FA'!B23</f>
        <v>#VALUE!</v>
      </c>
      <c r="B16" t="str">
        <f>VLOOKUP($A16,Table1[],2,FALSE)</f>
        <v>Small Cap Senior</v>
      </c>
      <c r="C16" s="46">
        <f>VLOOKUP($A16,Table1[],3,FALSE)</f>
        <v>4.29</v>
      </c>
      <c r="D16" s="34">
        <f>VLOOKUP($A16,Table1[],4,FALSE)</f>
        <v>2010.328</v>
      </c>
      <c r="E16" s="34">
        <f>VLOOKUP($A16,Table1[],5,FALSE)</f>
        <v>468607925.40792543</v>
      </c>
      <c r="F16">
        <f>VLOOKUP($A16,Table1[],6,FALSE)</f>
        <v>0</v>
      </c>
      <c r="G16" s="57">
        <f>VLOOKUP($A16,Table1[],7,FALSE)</f>
        <v>0</v>
      </c>
      <c r="H16" s="34">
        <f>VLOOKUP($A16,Table1[],8,FALSE)</f>
        <v>4095836</v>
      </c>
      <c r="I16" s="46">
        <f>VLOOKUP($A16,Table1[],9,FALSE)</f>
        <v>5.55</v>
      </c>
      <c r="J16" s="46">
        <f>VLOOKUP($A16,Table1[],10,FALSE)</f>
        <v>2</v>
      </c>
      <c r="K16" s="34">
        <f>VLOOKUP($A16,Table1[],11,FALSE)</f>
        <v>882000</v>
      </c>
      <c r="L16" s="34">
        <f>VLOOKUP($A16,Table1[],12,FALSE)</f>
        <v>762000</v>
      </c>
      <c r="M16" s="34">
        <f>VLOOKUP($A16,Table1[],13,FALSE)</f>
        <v>730000</v>
      </c>
      <c r="N16" s="34">
        <f>VLOOKUP($A16,Table1[],14,FALSE)</f>
        <v>730000</v>
      </c>
      <c r="O16" s="34">
        <f>VLOOKUP($A16,Table1[],16,FALSE)</f>
        <v>1068</v>
      </c>
      <c r="P16" s="34">
        <f>VLOOKUP($A16,Table1[],17,FALSE)</f>
        <v>1141</v>
      </c>
      <c r="Q16" s="34">
        <f>VLOOKUP($A16,Table1[],18,FALSE)</f>
        <v>1125</v>
      </c>
      <c r="R16" s="34">
        <f>VLOOKUP($A16,Table1[],20,FALSE)</f>
        <v>440.91000000000008</v>
      </c>
      <c r="S16" s="53">
        <f>VLOOKUP($A16,Table1[],21,FALSE)</f>
        <v>0.22807000402321975</v>
      </c>
      <c r="T16">
        <f>VLOOKUP($A16,Table1[],22,FALSE)</f>
        <v>321864300.00000006</v>
      </c>
      <c r="U16">
        <f>VLOOKUP($A16,Table1[],4,FALSE)</f>
        <v>2010.328</v>
      </c>
      <c r="V16" s="46">
        <f>VLOOKUP($A16,Table1[],24,FALSE)</f>
        <v>16.706</v>
      </c>
      <c r="W16" s="35">
        <f>VLOOKUP($A16,Table1[],25,FALSE)</f>
        <v>0</v>
      </c>
      <c r="X16" s="35">
        <f>VLOOKUP($A16,Table1[],26,FALSE)</f>
        <v>0</v>
      </c>
      <c r="Y16" s="34">
        <f>VLOOKUP($A16,Table1[],27,FALSE)</f>
        <v>321864300.00000006</v>
      </c>
      <c r="Z16" s="54">
        <f>VLOOKUP($A16,Table1[],28,FALSE)</f>
        <v>6.2458868535590915</v>
      </c>
      <c r="AA16" s="34">
        <f>VLOOKUP($A16,Table1[],29,FALSE)</f>
        <v>-5.5113636363636358</v>
      </c>
      <c r="AB16" s="54">
        <f>VLOOKUP($A16,Table1[],30,FALSE)</f>
        <v>-0.88</v>
      </c>
      <c r="AC16" s="34">
        <f>VLOOKUP($A16,Table1[],31,FALSE)</f>
        <v>-4.875</v>
      </c>
      <c r="AD16" s="53">
        <f>VLOOKUP($A16,Table1[],32,FALSE)</f>
        <v>-1.8348623853211024E-2</v>
      </c>
      <c r="AE16" s="53">
        <f>VLOOKUP($A16,Table1[],33,FALSE)</f>
        <v>-0.1055</v>
      </c>
      <c r="AF16" s="53">
        <f>VLOOKUP($A16,Table1[],34,FALSE)</f>
        <v>-0.16250000000000001</v>
      </c>
      <c r="AG16" s="53">
        <f>VLOOKUP($A16,Table1[],35,FALSE)</f>
        <v>-0.38729999999999998</v>
      </c>
      <c r="AH16" s="54">
        <f>VLOOKUP($A16,Table1[],36,FALSE)</f>
        <v>4.7481203007518795</v>
      </c>
      <c r="AI16" s="54">
        <f>VLOOKUP($A16,Table1[],37,FALSE)</f>
        <v>3.1240601503759398</v>
      </c>
      <c r="AJ16" s="54">
        <f>VLOOKUP($A16,Table1[],38,FALSE)</f>
        <v>0.64620630861040074</v>
      </c>
      <c r="AK16" s="54">
        <f>VLOOKUP($A16,Table1[],39,FALSE)</f>
        <v>0.3925427239772139</v>
      </c>
      <c r="AL16" s="54">
        <v>67.902739726027406</v>
      </c>
    </row>
    <row r="17" spans="1:38" x14ac:dyDescent="0.25">
      <c r="A17" t="e" vm="50">
        <f>'Production &amp; FA'!B24</f>
        <v>#VALUE!</v>
      </c>
      <c r="B17" t="str">
        <f>VLOOKUP($A17,Table1[],2,FALSE)</f>
        <v>Small Cap Senior</v>
      </c>
      <c r="C17" s="46">
        <f>VLOOKUP($A17,Table1[],3,FALSE)</f>
        <v>10.210000000000001</v>
      </c>
      <c r="D17" s="34">
        <f>VLOOKUP($A17,Table1[],4,FALSE)</f>
        <v>2138.19</v>
      </c>
      <c r="E17" s="34">
        <f>VLOOKUP($A17,Table1[],5,FALSE)</f>
        <v>209421155.72967678</v>
      </c>
      <c r="F17">
        <f>VLOOKUP($A17,Table1[],6,FALSE)</f>
        <v>0.68</v>
      </c>
      <c r="G17" s="57">
        <f>VLOOKUP($A17,Table1[],7,FALSE)</f>
        <v>7.1354000000000001E-2</v>
      </c>
      <c r="H17" s="34">
        <f>VLOOKUP($A17,Table1[],8,FALSE)</f>
        <v>683381</v>
      </c>
      <c r="I17" s="46">
        <f>VLOOKUP($A17,Table1[],9,FALSE)</f>
        <v>13.49</v>
      </c>
      <c r="J17" s="46">
        <f>VLOOKUP($A17,Table1[],10,FALSE)</f>
        <v>5.0199999999999996</v>
      </c>
      <c r="K17" s="34">
        <f>VLOOKUP($A17,Table1[],11,FALSE)</f>
        <v>0</v>
      </c>
      <c r="L17" s="34">
        <f>VLOOKUP($A17,Table1[],12,FALSE)</f>
        <v>28678</v>
      </c>
      <c r="M17" s="34">
        <f>VLOOKUP($A17,Table1[],13,FALSE)</f>
        <v>280000</v>
      </c>
      <c r="N17" s="34">
        <f>VLOOKUP($A17,Table1[],14,FALSE)</f>
        <v>280000</v>
      </c>
      <c r="O17" s="34">
        <f>VLOOKUP($A17,Table1[],16,FALSE)</f>
        <v>0</v>
      </c>
      <c r="P17" s="34">
        <f>VLOOKUP($A17,Table1[],17,FALSE)</f>
        <v>621</v>
      </c>
      <c r="Q17" s="34">
        <f>VLOOKUP($A17,Table1[],18,FALSE)</f>
        <v>621</v>
      </c>
      <c r="R17" s="34">
        <f>VLOOKUP($A17,Table1[],20,FALSE)</f>
        <v>944.91000000000008</v>
      </c>
      <c r="S17" s="53">
        <f>VLOOKUP($A17,Table1[],21,FALSE)</f>
        <v>0.48877464222081735</v>
      </c>
      <c r="T17">
        <f>VLOOKUP($A17,Table1[],22,FALSE)</f>
        <v>264574800.00000003</v>
      </c>
      <c r="U17">
        <f>VLOOKUP($A17,Table1[],4,FALSE)</f>
        <v>2138.19</v>
      </c>
      <c r="V17" s="46">
        <f>VLOOKUP($A17,Table1[],24,FALSE)</f>
        <v>4.8159999999999998</v>
      </c>
      <c r="W17" s="35">
        <f>VLOOKUP($A17,Table1[],25,FALSE)</f>
        <v>0</v>
      </c>
      <c r="X17" s="35">
        <f>VLOOKUP($A17,Table1[],26,FALSE)</f>
        <v>0</v>
      </c>
      <c r="Y17" s="34">
        <f>VLOOKUP($A17,Table1[],27,FALSE)</f>
        <v>264574800.00000003</v>
      </c>
      <c r="Z17" s="54">
        <f>VLOOKUP($A17,Table1[],28,FALSE)</f>
        <v>8.0816086792846473</v>
      </c>
      <c r="AA17" s="34">
        <f>VLOOKUP($A17,Table1[],29,FALSE)</f>
        <v>0</v>
      </c>
      <c r="AB17" s="54">
        <f>VLOOKUP($A17,Table1[],30,FALSE)</f>
        <v>0</v>
      </c>
      <c r="AC17" s="34">
        <f>VLOOKUP($A17,Table1[],31,FALSE)</f>
        <v>0</v>
      </c>
      <c r="AD17" s="53">
        <f>VLOOKUP($A17,Table1[],32,FALSE)</f>
        <v>0</v>
      </c>
      <c r="AE17" s="53">
        <f>VLOOKUP($A17,Table1[],33,FALSE)</f>
        <v>0</v>
      </c>
      <c r="AF17" s="53">
        <f>VLOOKUP($A17,Table1[],34,FALSE)</f>
        <v>0</v>
      </c>
      <c r="AG17" s="53">
        <f>VLOOKUP($A17,Table1[],35,FALSE)</f>
        <v>0</v>
      </c>
      <c r="AH17" s="54">
        <f>VLOOKUP($A17,Table1[],36,FALSE)</f>
        <v>1.2844827586206897</v>
      </c>
      <c r="AI17" s="54">
        <f>VLOOKUP($A17,Table1[],37,FALSE)</f>
        <v>0.65517241379310343</v>
      </c>
      <c r="AJ17" s="54">
        <f>VLOOKUP($A17,Table1[],38,FALSE)</f>
        <v>2.0171306209850108</v>
      </c>
      <c r="AK17" s="54">
        <f>VLOOKUP($A17,Table1[],39,FALSE)</f>
        <v>0.66855926188786374</v>
      </c>
      <c r="AL17" s="54">
        <v>61.54</v>
      </c>
    </row>
    <row r="18" spans="1:38" x14ac:dyDescent="0.25">
      <c r="A18" t="e" vm="4">
        <f>'Production &amp; FA'!B25</f>
        <v>#VALUE!</v>
      </c>
      <c r="B18" t="str">
        <f>VLOOKUP($A18,Table1[],2,FALSE)</f>
        <v>Small Cap Senior</v>
      </c>
      <c r="C18" s="46">
        <f>VLOOKUP($A18,Table1[],3,FALSE)</f>
        <v>21.53</v>
      </c>
      <c r="D18" s="34">
        <f>VLOOKUP($A18,Table1[],4,FALSE)</f>
        <v>1932.4259999999999</v>
      </c>
      <c r="E18" s="34">
        <f>VLOOKUP($A18,Table1[],5,FALSE)</f>
        <v>89755039.479795635</v>
      </c>
      <c r="F18">
        <f>VLOOKUP($A18,Table1[],6,FALSE)</f>
        <v>-0.42</v>
      </c>
      <c r="G18" s="57">
        <f>VLOOKUP($A18,Table1[],7,FALSE)</f>
        <v>-1.9133999999999998E-2</v>
      </c>
      <c r="H18" s="34">
        <f>VLOOKUP($A18,Table1[],8,FALSE)</f>
        <v>680140</v>
      </c>
      <c r="I18" s="46">
        <f>VLOOKUP($A18,Table1[],9,FALSE)</f>
        <v>25.57</v>
      </c>
      <c r="J18" s="46">
        <f>VLOOKUP($A18,Table1[],10,FALSE)</f>
        <v>12.12</v>
      </c>
      <c r="K18" s="34">
        <f>VLOOKUP($A18,Table1[],11,FALSE)</f>
        <v>347090</v>
      </c>
      <c r="L18" s="34">
        <f>VLOOKUP($A18,Table1[],12,FALSE)</f>
        <v>421828</v>
      </c>
      <c r="M18" s="34">
        <f>VLOOKUP($A18,Table1[],13,FALSE)</f>
        <v>425000</v>
      </c>
      <c r="N18" s="34">
        <f>VLOOKUP($A18,Table1[],14,FALSE)</f>
        <v>425000</v>
      </c>
      <c r="O18" s="34">
        <f>VLOOKUP($A18,Table1[],16,FALSE)</f>
        <v>1088</v>
      </c>
      <c r="P18" s="34">
        <f>VLOOKUP($A18,Table1[],17,FALSE)</f>
        <v>1087</v>
      </c>
      <c r="Q18" s="34">
        <f>VLOOKUP($A18,Table1[],18,FALSE)</f>
        <v>1087</v>
      </c>
      <c r="R18" s="34">
        <f>VLOOKUP($A18,Table1[],20,FALSE)</f>
        <v>478.91000000000008</v>
      </c>
      <c r="S18" s="53">
        <f>VLOOKUP($A18,Table1[],21,FALSE)</f>
        <v>0.24772630610954657</v>
      </c>
      <c r="T18">
        <f>VLOOKUP($A18,Table1[],22,FALSE)</f>
        <v>203536750.00000003</v>
      </c>
      <c r="U18">
        <f>VLOOKUP($A18,Table1[],4,FALSE)</f>
        <v>1932.4259999999999</v>
      </c>
      <c r="V18" s="46">
        <f>VLOOKUP($A18,Table1[],24,FALSE)</f>
        <v>5.3760000000000003</v>
      </c>
      <c r="W18" s="35">
        <f>VLOOKUP($A18,Table1[],25,FALSE)</f>
        <v>0</v>
      </c>
      <c r="X18" s="35">
        <f>VLOOKUP($A18,Table1[],26,FALSE)</f>
        <v>0</v>
      </c>
      <c r="Y18" s="34">
        <f>VLOOKUP($A18,Table1[],27,FALSE)</f>
        <v>203536750.00000003</v>
      </c>
      <c r="Z18" s="54">
        <f>VLOOKUP($A18,Table1[],28,FALSE)</f>
        <v>9.4942362988502058</v>
      </c>
      <c r="AA18" s="34">
        <f>VLOOKUP($A18,Table1[],29,FALSE)</f>
        <v>68.319999999999993</v>
      </c>
      <c r="AB18" s="54">
        <f>VLOOKUP($A18,Table1[],30,FALSE)</f>
        <v>0.47</v>
      </c>
      <c r="AC18" s="34">
        <f>VLOOKUP($A18,Table1[],31,FALSE)</f>
        <v>45.808510638297875</v>
      </c>
      <c r="AD18" s="53">
        <f>VLOOKUP($A18,Table1[],32,FALSE)</f>
        <v>0.35225171023018481</v>
      </c>
      <c r="AE18" s="53">
        <f>VLOOKUP($A18,Table1[],33,FALSE)</f>
        <v>3.5000000000000003E-2</v>
      </c>
      <c r="AF18" s="53">
        <f>VLOOKUP($A18,Table1[],34,FALSE)</f>
        <v>5.4399999999999997E-2</v>
      </c>
      <c r="AG18" s="53">
        <f>VLOOKUP($A18,Table1[],35,FALSE)</f>
        <v>9.4399999999999998E-2</v>
      </c>
      <c r="AH18" s="54">
        <f>VLOOKUP($A18,Table1[],36,FALSE)</f>
        <v>3.8461538461538463</v>
      </c>
      <c r="AI18" s="54">
        <f>VLOOKUP($A18,Table1[],37,FALSE)</f>
        <v>2.1538461538461537</v>
      </c>
      <c r="AJ18" s="54">
        <f>VLOOKUP($A18,Table1[],38,FALSE)</f>
        <v>0.54320987654320985</v>
      </c>
      <c r="AK18" s="54">
        <f>VLOOKUP($A18,Table1[],39,FALSE)</f>
        <v>0.35199999999999998</v>
      </c>
      <c r="AL18" s="54">
        <v>73.572779317647061</v>
      </c>
    </row>
    <row r="19" spans="1:38" x14ac:dyDescent="0.25">
      <c r="A19" t="e" vm="44">
        <f>'Production &amp; FA'!B26</f>
        <v>#VALUE!</v>
      </c>
      <c r="B19" t="str">
        <f>VLOOKUP($A19,Table1[],2,FALSE)</f>
        <v>Small Cap Senior</v>
      </c>
      <c r="C19" s="46">
        <f>VLOOKUP($A19,Table1[],3,FALSE)</f>
        <v>3.55</v>
      </c>
      <c r="D19" s="34">
        <f>VLOOKUP($A19,Table1[],4,FALSE)</f>
        <v>1179.777</v>
      </c>
      <c r="E19" s="34">
        <f>VLOOKUP($A19,Table1[],5,FALSE)</f>
        <v>332331549.29577464</v>
      </c>
      <c r="F19">
        <f>VLOOKUP($A19,Table1[],6,FALSE)</f>
        <v>0.01</v>
      </c>
      <c r="G19" s="57">
        <f>VLOOKUP($A19,Table1[],7,FALSE)</f>
        <v>2.8249999999999998E-3</v>
      </c>
      <c r="H19" s="34">
        <f>VLOOKUP($A19,Table1[],8,FALSE)</f>
        <v>3155032</v>
      </c>
      <c r="I19" s="46">
        <f>VLOOKUP($A19,Table1[],9,FALSE)</f>
        <v>5.75</v>
      </c>
      <c r="J19" s="46">
        <f>VLOOKUP($A19,Table1[],10,FALSE)</f>
        <v>1.57</v>
      </c>
      <c r="K19" s="34">
        <f>VLOOKUP($A19,Table1[],11,FALSE)</f>
        <v>244600</v>
      </c>
      <c r="L19" s="34">
        <f>VLOOKUP($A19,Table1[],12,FALSE)</f>
        <v>340900</v>
      </c>
      <c r="M19" s="34">
        <f>VLOOKUP($A19,Table1[],13,FALSE)</f>
        <v>335000</v>
      </c>
      <c r="N19" s="34">
        <f>VLOOKUP($A19,Table1[],14,FALSE)</f>
        <v>335000</v>
      </c>
      <c r="O19" s="34">
        <f>VLOOKUP($A19,Table1[],16,FALSE)</f>
        <v>951</v>
      </c>
      <c r="P19" s="34">
        <f>VLOOKUP($A19,Table1[],17,FALSE)</f>
        <v>724</v>
      </c>
      <c r="Q19" s="34">
        <f>VLOOKUP($A19,Table1[],18,FALSE)</f>
        <v>927.5</v>
      </c>
      <c r="R19" s="34">
        <f>VLOOKUP($A19,Table1[],20,FALSE)</f>
        <v>638.41000000000008</v>
      </c>
      <c r="S19" s="53">
        <f>VLOOKUP($A19,Table1[],21,FALSE)</f>
        <v>0.33023104776136564</v>
      </c>
      <c r="T19">
        <f>VLOOKUP($A19,Table1[],22,FALSE)</f>
        <v>213867350.00000003</v>
      </c>
      <c r="U19">
        <f>VLOOKUP($A19,Table1[],4,FALSE)</f>
        <v>1179.777</v>
      </c>
      <c r="V19" s="46">
        <f>VLOOKUP($A19,Table1[],24,FALSE)</f>
        <v>25.341000000000001</v>
      </c>
      <c r="W19" s="35">
        <f>VLOOKUP($A19,Table1[],25,FALSE)</f>
        <v>0</v>
      </c>
      <c r="X19" s="35">
        <f>VLOOKUP($A19,Table1[],26,FALSE)</f>
        <v>0</v>
      </c>
      <c r="Y19" s="34">
        <f>VLOOKUP($A19,Table1[],27,FALSE)</f>
        <v>213867350.00000003</v>
      </c>
      <c r="Z19" s="54">
        <f>VLOOKUP($A19,Table1[],28,FALSE)</f>
        <v>5.5163960277246602</v>
      </c>
      <c r="AA19" s="34">
        <f>VLOOKUP($A19,Table1[],29,FALSE)</f>
        <v>13.78</v>
      </c>
      <c r="AB19" s="54">
        <f>VLOOKUP($A19,Table1[],30,FALSE)</f>
        <v>0.15</v>
      </c>
      <c r="AC19" s="34">
        <f>VLOOKUP($A19,Table1[],31,FALSE)</f>
        <v>23.666666666666668</v>
      </c>
      <c r="AD19" s="53">
        <f>VLOOKUP($A19,Table1[],32,FALSE)</f>
        <v>0.83694351133248379</v>
      </c>
      <c r="AE19" s="53">
        <f>VLOOKUP($A19,Table1[],33,FALSE)</f>
        <v>4.6800000000000001E-2</v>
      </c>
      <c r="AF19" s="53">
        <f>VLOOKUP($A19,Table1[],34,FALSE)</f>
        <v>6.6100000000000006E-2</v>
      </c>
      <c r="AG19" s="53">
        <f>VLOOKUP($A19,Table1[],35,FALSE)</f>
        <v>0.1055</v>
      </c>
      <c r="AH19" s="54">
        <f>VLOOKUP($A19,Table1[],36,FALSE)</f>
        <v>1.7191780821917808</v>
      </c>
      <c r="AI19" s="54">
        <f>VLOOKUP($A19,Table1[],37,FALSE)</f>
        <v>0.67123287671232879</v>
      </c>
      <c r="AJ19" s="54">
        <f>VLOOKUP($A19,Table1[],38,FALSE)</f>
        <v>0.39097744360902253</v>
      </c>
      <c r="AK19" s="54">
        <f>VLOOKUP($A19,Table1[],39,FALSE)</f>
        <v>0.2810810810810811</v>
      </c>
      <c r="AL19" s="54">
        <v>63.253588516746404</v>
      </c>
    </row>
    <row r="20" spans="1:38" x14ac:dyDescent="0.25">
      <c r="A20" t="e" vm="47">
        <f>'Production &amp; FA'!B27</f>
        <v>#VALUE!</v>
      </c>
      <c r="B20" t="str">
        <f>VLOOKUP($A20,Table1[],2,FALSE)</f>
        <v>Small Cap Senior</v>
      </c>
      <c r="C20" s="46">
        <f>VLOOKUP($A20,Table1[],3,FALSE)</f>
        <v>16.11</v>
      </c>
      <c r="D20" s="34">
        <f>VLOOKUP($A20,Table1[],4,FALSE)</f>
        <v>1291.5509999999999</v>
      </c>
      <c r="E20" s="34">
        <f>VLOOKUP($A20,Table1[],5,FALSE)</f>
        <v>80170763.500931099</v>
      </c>
      <c r="F20">
        <f>VLOOKUP($A20,Table1[],6,FALSE)</f>
        <v>0.93</v>
      </c>
      <c r="G20" s="57">
        <f>VLOOKUP($A20,Table1[],7,FALSE)</f>
        <v>6.1265E-2</v>
      </c>
      <c r="H20" s="34">
        <f>VLOOKUP($A20,Table1[],8,FALSE)</f>
        <v>715455</v>
      </c>
      <c r="I20" s="46">
        <f>VLOOKUP($A20,Table1[],9,FALSE)</f>
        <v>22.45</v>
      </c>
      <c r="J20" s="46">
        <f>VLOOKUP($A20,Table1[],10,FALSE)</f>
        <v>8.7899999999999991</v>
      </c>
      <c r="K20" s="34">
        <f>VLOOKUP($A20,Table1[],11,FALSE)</f>
        <v>347640</v>
      </c>
      <c r="L20" s="34">
        <f>VLOOKUP($A20,Table1[],12,FALSE)</f>
        <v>454811</v>
      </c>
      <c r="M20" s="34">
        <f>VLOOKUP($A20,Table1[],13,FALSE)</f>
        <v>450000</v>
      </c>
      <c r="N20" s="34">
        <f>VLOOKUP($A20,Table1[],14,FALSE)</f>
        <v>450000</v>
      </c>
      <c r="O20" s="34">
        <f>VLOOKUP($A20,Table1[],16,FALSE)</f>
        <v>964</v>
      </c>
      <c r="P20" s="34">
        <f>VLOOKUP($A20,Table1[],17,FALSE)</f>
        <v>805</v>
      </c>
      <c r="Q20" s="34">
        <f>VLOOKUP($A20,Table1[],18,FALSE)</f>
        <v>930</v>
      </c>
      <c r="R20" s="34">
        <f>VLOOKUP($A20,Table1[],20,FALSE)</f>
        <v>635.91000000000008</v>
      </c>
      <c r="S20" s="53">
        <f>VLOOKUP($A20,Table1[],21,FALSE)</f>
        <v>0.32893786999252833</v>
      </c>
      <c r="T20">
        <f>VLOOKUP($A20,Table1[],22,FALSE)</f>
        <v>286159500.00000006</v>
      </c>
      <c r="U20">
        <f>VLOOKUP($A20,Table1[],4,FALSE)</f>
        <v>1291.5509999999999</v>
      </c>
      <c r="V20" s="46">
        <f>VLOOKUP($A20,Table1[],24,FALSE)</f>
        <v>2.2400000000000002</v>
      </c>
      <c r="W20" s="35">
        <f>VLOOKUP($A20,Table1[],25,FALSE)</f>
        <v>0</v>
      </c>
      <c r="X20" s="35">
        <f>VLOOKUP($A20,Table1[],26,FALSE)</f>
        <v>0</v>
      </c>
      <c r="Y20" s="34">
        <f>VLOOKUP($A20,Table1[],27,FALSE)</f>
        <v>286159500.00000006</v>
      </c>
      <c r="Z20" s="54">
        <f>VLOOKUP($A20,Table1[],28,FALSE)</f>
        <v>4.5133955014598488</v>
      </c>
      <c r="AA20" s="34">
        <f>VLOOKUP($A20,Table1[],29,FALSE)</f>
        <v>36.53</v>
      </c>
      <c r="AB20" s="54">
        <f>VLOOKUP($A20,Table1[],30,FALSE)</f>
        <v>0.84</v>
      </c>
      <c r="AC20" s="34">
        <f>VLOOKUP($A20,Table1[],31,FALSE)</f>
        <v>19.178571428571427</v>
      </c>
      <c r="AD20" s="53">
        <f>VLOOKUP($A20,Table1[],32,FALSE)</f>
        <v>1.0349317243569387</v>
      </c>
      <c r="AE20" s="53">
        <f>VLOOKUP($A20,Table1[],33,FALSE)</f>
        <v>5.6899999999999999E-2</v>
      </c>
      <c r="AF20" s="53">
        <f>VLOOKUP($A20,Table1[],34,FALSE)</f>
        <v>8.9300000000000004E-2</v>
      </c>
      <c r="AG20" s="53">
        <f>VLOOKUP($A20,Table1[],35,FALSE)</f>
        <v>0.1111</v>
      </c>
      <c r="AH20" s="54">
        <f>VLOOKUP($A20,Table1[],36,FALSE)</f>
        <v>1.3950617283950617</v>
      </c>
      <c r="AI20" s="54">
        <f>VLOOKUP($A20,Table1[],37,FALSE)</f>
        <v>0.66666666666666663</v>
      </c>
      <c r="AJ20" s="54">
        <f>VLOOKUP($A20,Table1[],38,FALSE)</f>
        <v>0.47305389221556887</v>
      </c>
      <c r="AK20" s="54">
        <f>VLOOKUP($A20,Table1[],39,FALSE)</f>
        <v>0.32113821138211385</v>
      </c>
      <c r="AL20" s="54">
        <v>67.239999999999995</v>
      </c>
    </row>
    <row r="21" spans="1:38" x14ac:dyDescent="0.25">
      <c r="A21" t="e" vm="53">
        <f>'Production &amp; FA'!B31</f>
        <v>#VALUE!</v>
      </c>
      <c r="B21" t="str">
        <f>VLOOKUP($A21,Table1[],2,FALSE)</f>
        <v>Small Cap Junior</v>
      </c>
      <c r="C21" s="46">
        <f>VLOOKUP($A21,Table1[],3,FALSE)</f>
        <v>5.99</v>
      </c>
      <c r="D21" s="34">
        <f>VLOOKUP($A21,Table1[],4,FALSE)</f>
        <v>1104.8869999999999</v>
      </c>
      <c r="E21" s="34">
        <f>VLOOKUP($A21,Table1[],5,FALSE)</f>
        <v>184455258.76460767</v>
      </c>
      <c r="F21">
        <f>VLOOKUP($A21,Table1[],6,FALSE)</f>
        <v>-0.13</v>
      </c>
      <c r="G21" s="57">
        <f>VLOOKUP($A21,Table1[],7,FALSE)</f>
        <v>-2.1242E-2</v>
      </c>
      <c r="H21" s="34">
        <f>VLOOKUP($A21,Table1[],8,FALSE)</f>
        <v>907266</v>
      </c>
      <c r="I21" s="46">
        <f>VLOOKUP($A21,Table1[],9,FALSE)</f>
        <v>6.66</v>
      </c>
      <c r="J21" s="46">
        <f>VLOOKUP($A21,Table1[],10,FALSE)</f>
        <v>3.2</v>
      </c>
      <c r="K21" s="34">
        <f>VLOOKUP($A21,Table1[],11,FALSE)</f>
        <v>201000</v>
      </c>
      <c r="L21" s="34">
        <f>VLOOKUP($A21,Table1[],12,FALSE)</f>
        <v>231000</v>
      </c>
      <c r="M21" s="34">
        <f>VLOOKUP($A21,Table1[],13,FALSE)</f>
        <v>274000</v>
      </c>
      <c r="N21" s="34">
        <f>VLOOKUP($A21,Table1[],14,FALSE)</f>
        <v>274000</v>
      </c>
      <c r="O21" s="34">
        <f>VLOOKUP($A21,Table1[],16,FALSE)</f>
        <v>659</v>
      </c>
      <c r="P21" s="34">
        <f>VLOOKUP($A21,Table1[],17,FALSE)</f>
        <v>725</v>
      </c>
      <c r="Q21" s="34">
        <f>VLOOKUP($A21,Table1[],18,FALSE)</f>
        <v>720</v>
      </c>
      <c r="R21" s="34">
        <f>VLOOKUP($A21,Table1[],20,FALSE)</f>
        <v>845.91000000000008</v>
      </c>
      <c r="S21" s="53">
        <f>VLOOKUP($A21,Table1[],21,FALSE)</f>
        <v>0.5402034599689638</v>
      </c>
      <c r="T21">
        <f>VLOOKUP($A21,Table1[],22,FALSE)</f>
        <v>231779340.00000003</v>
      </c>
      <c r="U21">
        <f>VLOOKUP($A21,Table1[],4,FALSE)</f>
        <v>1104.8869999999999</v>
      </c>
      <c r="V21" s="46">
        <f>VLOOKUP($A21,Table1[],24,FALSE)</f>
        <v>2.5819999999999999</v>
      </c>
      <c r="W21" s="35">
        <f>VLOOKUP($A21,Table1[],25,FALSE)</f>
        <v>0</v>
      </c>
      <c r="X21" s="35">
        <f>VLOOKUP($A21,Table1[],26,FALSE)</f>
        <v>0</v>
      </c>
      <c r="Y21" s="34">
        <f>VLOOKUP($A21,Table1[],27,FALSE)</f>
        <v>231779340.00000003</v>
      </c>
      <c r="Z21" s="54">
        <f>VLOOKUP($A21,Table1[],28,FALSE)</f>
        <v>4.7669779368601182</v>
      </c>
      <c r="AA21" s="34">
        <f>VLOOKUP($A21,Table1[],29,FALSE)</f>
        <v>38.83</v>
      </c>
      <c r="AB21" s="54">
        <f>VLOOKUP($A21,Table1[],30,FALSE)</f>
        <v>0.21</v>
      </c>
      <c r="AC21" s="34">
        <f>VLOOKUP($A21,Table1[],31,FALSE)</f>
        <v>28.523809523809526</v>
      </c>
      <c r="AD21" s="53">
        <f>VLOOKUP($A21,Table1[],32,FALSE)</f>
        <v>0.34927904397295073</v>
      </c>
      <c r="AE21" s="53">
        <f>VLOOKUP($A21,Table1[],33,FALSE)</f>
        <v>2.29E-2</v>
      </c>
      <c r="AF21" s="53">
        <f>VLOOKUP($A21,Table1[],34,FALSE)</f>
        <v>3.1199999999999999E-2</v>
      </c>
      <c r="AG21" s="53">
        <f>VLOOKUP($A21,Table1[],35,FALSE)</f>
        <v>5.6000000000000001E-2</v>
      </c>
      <c r="AH21" s="54">
        <f>VLOOKUP($A21,Table1[],36,FALSE)</f>
        <v>0.90322580645161288</v>
      </c>
      <c r="AI21" s="54">
        <f>VLOOKUP($A21,Table1[],37,FALSE)</f>
        <v>0.18279569892473119</v>
      </c>
      <c r="AJ21" s="54">
        <f>VLOOKUP($A21,Table1[],38,FALSE)</f>
        <v>0.36075949367088606</v>
      </c>
      <c r="AK21" s="54">
        <f>VLOOKUP($A21,Table1[],39,FALSE)</f>
        <v>0.26511627906976742</v>
      </c>
      <c r="AL21" s="54">
        <v>58.340756756756761</v>
      </c>
    </row>
    <row r="22" spans="1:38" x14ac:dyDescent="0.25">
      <c r="A22" t="e" vm="51">
        <f>'Production &amp; FA'!B32</f>
        <v>#VALUE!</v>
      </c>
      <c r="B22" t="str">
        <f>VLOOKUP($A22,Table1[],2,FALSE)</f>
        <v>Small Cap Junior</v>
      </c>
      <c r="C22" s="46">
        <f>VLOOKUP($A22,Table1[],3,FALSE)</f>
        <v>10.55</v>
      </c>
      <c r="D22" s="34">
        <f>VLOOKUP($A22,Table1[],4,FALSE)</f>
        <v>2256.4760000000001</v>
      </c>
      <c r="E22" s="34">
        <f>VLOOKUP($A22,Table1[],5,FALSE)</f>
        <v>213883981.04265401</v>
      </c>
      <c r="F22">
        <f>VLOOKUP($A22,Table1[],6,FALSE)</f>
        <v>0.1</v>
      </c>
      <c r="G22" s="57">
        <f>VLOOKUP($A22,Table1[],7,FALSE)</f>
        <v>9.5689999999999994E-3</v>
      </c>
      <c r="H22" s="34">
        <f>VLOOKUP($A22,Table1[],8,FALSE)</f>
        <v>2641712</v>
      </c>
      <c r="I22" s="46">
        <f>VLOOKUP($A22,Table1[],9,FALSE)</f>
        <v>13.52</v>
      </c>
      <c r="J22" s="46">
        <f>VLOOKUP($A22,Table1[],10,FALSE)</f>
        <v>4.9000000000000004</v>
      </c>
      <c r="K22" s="34">
        <f>VLOOKUP($A22,Table1[],11,FALSE)</f>
        <v>25601</v>
      </c>
      <c r="L22" s="34">
        <f>VLOOKUP($A22,Table1[],12,FALSE)</f>
        <v>194941</v>
      </c>
      <c r="M22" s="34">
        <f>VLOOKUP($A22,Table1[],13,FALSE)</f>
        <v>700000</v>
      </c>
      <c r="N22" s="34">
        <f>VLOOKUP($A22,Table1[],14,FALSE)</f>
        <v>700000</v>
      </c>
      <c r="O22" s="34">
        <f>VLOOKUP($A22,Table1[],16,FALSE)</f>
        <v>886</v>
      </c>
      <c r="P22" s="34">
        <f>VLOOKUP($A22,Table1[],17,FALSE)</f>
        <v>931</v>
      </c>
      <c r="Q22" s="34">
        <f>VLOOKUP($A22,Table1[],18,FALSE)</f>
        <v>1000</v>
      </c>
      <c r="R22" s="34">
        <f>VLOOKUP($A22,Table1[],20,FALSE)</f>
        <v>565.91000000000008</v>
      </c>
      <c r="S22" s="53">
        <f>VLOOKUP($A22,Table1[],21,FALSE)</f>
        <v>0.36139369440133856</v>
      </c>
      <c r="T22">
        <f>VLOOKUP($A22,Table1[],22,FALSE)</f>
        <v>396137000.00000006</v>
      </c>
      <c r="U22">
        <f>VLOOKUP($A22,Table1[],4,FALSE)</f>
        <v>2256.4760000000001</v>
      </c>
      <c r="V22" s="46">
        <f>VLOOKUP($A22,Table1[],24,FALSE)</f>
        <v>12.7</v>
      </c>
      <c r="W22" s="35">
        <f>VLOOKUP($A22,Table1[],25,FALSE)</f>
        <v>0</v>
      </c>
      <c r="X22" s="35">
        <f>VLOOKUP($A22,Table1[],26,FALSE)</f>
        <v>0</v>
      </c>
      <c r="Y22" s="34">
        <f>VLOOKUP($A22,Table1[],27,FALSE)</f>
        <v>396137000.00000006</v>
      </c>
      <c r="Z22" s="54">
        <f>VLOOKUP($A22,Table1[],28,FALSE)</f>
        <v>5.6962010617538876</v>
      </c>
      <c r="AA22" s="34">
        <f>VLOOKUP($A22,Table1[],29,FALSE)</f>
        <v>-18.163636363636364</v>
      </c>
      <c r="AB22" s="54">
        <f>VLOOKUP($A22,Table1[],30,FALSE)</f>
        <v>-0.55000000000000004</v>
      </c>
      <c r="AC22" s="34">
        <f>VLOOKUP($A22,Table1[],31,FALSE)</f>
        <v>-19.18181818181818</v>
      </c>
      <c r="AD22" s="53">
        <f>VLOOKUP($A22,Table1[],32,FALSE)</f>
        <v>17.779800000000002</v>
      </c>
      <c r="AE22" s="53">
        <f>VLOOKUP($A22,Table1[],33,FALSE)</f>
        <v>-3.0800000000000001E-2</v>
      </c>
      <c r="AF22" s="53">
        <f>VLOOKUP($A22,Table1[],34,FALSE)</f>
        <v>-5.2200000000000003E-2</v>
      </c>
      <c r="AG22" s="53">
        <f>VLOOKUP($A22,Table1[],35,FALSE)</f>
        <v>-0.10199999999999999</v>
      </c>
      <c r="AH22" s="54">
        <f>VLOOKUP($A22,Table1[],36,FALSE)</f>
        <v>1.1268391410140763</v>
      </c>
      <c r="AI22" s="54">
        <f>VLOOKUP($A22,Table1[],37,FALSE)</f>
        <v>0.5132994246643876</v>
      </c>
      <c r="AJ22" s="54">
        <f>VLOOKUP($A22,Table1[],38,FALSE)</f>
        <v>1.0824494676957963</v>
      </c>
      <c r="AK22" s="54">
        <f>VLOOKUP($A22,Table1[],39,FALSE)</f>
        <v>0.51979627092392922</v>
      </c>
      <c r="AL22" s="54">
        <v>63.12</v>
      </c>
    </row>
    <row r="23" spans="1:38" x14ac:dyDescent="0.25">
      <c r="A23" t="e" vm="56">
        <f>'Production &amp; FA'!B33</f>
        <v>#VALUE!</v>
      </c>
      <c r="B23" t="str">
        <f>VLOOKUP($A23,Table1[],2,FALSE)</f>
        <v>Small Cap Junior</v>
      </c>
      <c r="C23" s="46">
        <f>VLOOKUP($A23,Table1[],3,FALSE)</f>
        <v>0.115</v>
      </c>
      <c r="D23" s="34">
        <f>VLOOKUP($A23,Table1[],4,FALSE)</f>
        <v>97.313829999999996</v>
      </c>
      <c r="E23" s="34">
        <f>VLOOKUP($A23,Table1[],5,FALSE)</f>
        <v>846207217.39130425</v>
      </c>
      <c r="F23">
        <f>VLOOKUP($A23,Table1[],6,FALSE)</f>
        <v>0</v>
      </c>
      <c r="G23" s="57">
        <f>VLOOKUP($A23,Table1[],7,FALSE)</f>
        <v>0</v>
      </c>
      <c r="H23" s="34">
        <f>VLOOKUP($A23,Table1[],8,FALSE)</f>
        <v>559648</v>
      </c>
      <c r="I23" s="46">
        <f>VLOOKUP($A23,Table1[],9,FALSE)</f>
        <v>0.35</v>
      </c>
      <c r="J23" s="46">
        <f>VLOOKUP($A23,Table1[],10,FALSE)</f>
        <v>7.4999999999999997E-2</v>
      </c>
      <c r="K23" s="34">
        <f>VLOOKUP($A23,Table1[],11,FALSE)</f>
        <v>0</v>
      </c>
      <c r="L23" s="34">
        <f>VLOOKUP($A23,Table1[],12,FALSE)</f>
        <v>27316</v>
      </c>
      <c r="M23" s="34">
        <f>VLOOKUP($A23,Table1[],13,FALSE)</f>
        <v>45000</v>
      </c>
      <c r="N23" s="34">
        <f>VLOOKUP($A23,Table1[],14,FALSE)</f>
        <v>45000</v>
      </c>
      <c r="O23" s="34">
        <f>VLOOKUP($A23,Table1[],16,FALSE)</f>
        <v>0</v>
      </c>
      <c r="P23" s="34">
        <f>VLOOKUP($A23,Table1[],17,FALSE)</f>
        <v>2300</v>
      </c>
      <c r="Q23" s="34">
        <f>VLOOKUP($A23,Table1[],18,FALSE)</f>
        <v>1562.5</v>
      </c>
      <c r="R23" s="34">
        <f>VLOOKUP($A23,Table1[],20,FALSE)</f>
        <v>3.4100000000000819</v>
      </c>
      <c r="S23" s="53">
        <f>VLOOKUP($A23,Table1[],21,FALSE)</f>
        <v>2.1776475020914877E-3</v>
      </c>
      <c r="T23">
        <f>VLOOKUP($A23,Table1[],22,FALSE)</f>
        <v>153450.0000000037</v>
      </c>
      <c r="U23">
        <f>VLOOKUP($A23,Table1[],4,FALSE)</f>
        <v>97.313829999999996</v>
      </c>
      <c r="V23" s="46">
        <f>VLOOKUP($A23,Table1[],24,FALSE)</f>
        <v>0.89</v>
      </c>
      <c r="W23" s="35">
        <f>VLOOKUP($A23,Table1[],25,FALSE)</f>
        <v>0</v>
      </c>
      <c r="X23" s="35">
        <f>VLOOKUP($A23,Table1[],26,FALSE)</f>
        <v>0</v>
      </c>
      <c r="Y23" s="34">
        <f>VLOOKUP($A23,Table1[],27,FALSE)</f>
        <v>153450.0000000037</v>
      </c>
      <c r="Z23" s="54">
        <f>VLOOKUP($A23,Table1[],28,FALSE)</f>
        <v>634.17289019222972</v>
      </c>
      <c r="AA23" s="34">
        <f>VLOOKUP($A23,Table1[],29,FALSE)</f>
        <v>-1.4999999999999998</v>
      </c>
      <c r="AB23" s="54">
        <f>VLOOKUP($A23,Table1[],30,FALSE)</f>
        <v>-0.1</v>
      </c>
      <c r="AC23" s="34">
        <f>VLOOKUP($A23,Table1[],31,FALSE)</f>
        <v>-1.1499999999999999</v>
      </c>
      <c r="AD23" s="53">
        <f>VLOOKUP($A23,Table1[],32,FALSE)</f>
        <v>0</v>
      </c>
      <c r="AE23" s="53">
        <f>VLOOKUP($A23,Table1[],33,FALSE)</f>
        <v>-0.49459999999999998</v>
      </c>
      <c r="AF23" s="53">
        <f>VLOOKUP($A23,Table1[],34,FALSE)</f>
        <v>-88.6327</v>
      </c>
      <c r="AG23" s="53">
        <f>VLOOKUP($A23,Table1[],35,FALSE)</f>
        <v>-1.2377</v>
      </c>
      <c r="AH23" s="54">
        <f>VLOOKUP($A23,Table1[],36,FALSE)</f>
        <v>0.25641025641025639</v>
      </c>
      <c r="AI23" s="54">
        <f>VLOOKUP($A23,Table1[],37,FALSE)</f>
        <v>5.128205128205128E-2</v>
      </c>
      <c r="AJ23" s="54" t="str">
        <f>VLOOKUP($A23,Table1[],38,FALSE)</f>
        <v>N/A</v>
      </c>
      <c r="AK23" s="54">
        <f>VLOOKUP($A23,Table1[],39,FALSE)</f>
        <v>1.1463414634146341</v>
      </c>
      <c r="AL23" s="54">
        <v>77.17</v>
      </c>
    </row>
    <row r="24" spans="1:38" x14ac:dyDescent="0.25">
      <c r="A24" t="e" vm="45">
        <f>'Production &amp; FA'!B34</f>
        <v>#VALUE!</v>
      </c>
      <c r="B24" t="str">
        <f>VLOOKUP($A24,Table1[],2,FALSE)</f>
        <v>Small Cap Junior</v>
      </c>
      <c r="C24" s="46">
        <f>VLOOKUP($A24,Table1[],3,FALSE)</f>
        <v>3.85</v>
      </c>
      <c r="D24" s="34">
        <f>VLOOKUP($A24,Table1[],4,FALSE)</f>
        <v>857.61599999999999</v>
      </c>
      <c r="E24" s="34">
        <f>VLOOKUP($A24,Table1[],5,FALSE)</f>
        <v>222757402.5974026</v>
      </c>
      <c r="F24">
        <f>VLOOKUP($A24,Table1[],6,FALSE)</f>
        <v>-0.19</v>
      </c>
      <c r="G24" s="57">
        <f>VLOOKUP($A24,Table1[],7,FALSE)</f>
        <v>-4.7030000000000002E-2</v>
      </c>
      <c r="H24" s="34">
        <f>VLOOKUP($A24,Table1[],8,FALSE)</f>
        <v>2298302</v>
      </c>
      <c r="I24" s="46">
        <f>VLOOKUP($A24,Table1[],9,FALSE)</f>
        <v>4.4649999999999999</v>
      </c>
      <c r="J24" s="46">
        <f>VLOOKUP($A24,Table1[],10,FALSE)</f>
        <v>1.27</v>
      </c>
      <c r="K24" s="34">
        <f>VLOOKUP($A24,Table1[],11,FALSE)</f>
        <v>47237</v>
      </c>
      <c r="L24" s="34">
        <f>VLOOKUP($A24,Table1[],12,FALSE)</f>
        <v>82256</v>
      </c>
      <c r="M24" s="34">
        <f>VLOOKUP($A24,Table1[],13,FALSE)</f>
        <v>115000</v>
      </c>
      <c r="N24" s="34">
        <f>VLOOKUP($A24,Table1[],14,FALSE)</f>
        <v>115000</v>
      </c>
      <c r="O24" s="34">
        <f>VLOOKUP($A24,Table1[],16,FALSE)</f>
        <v>809</v>
      </c>
      <c r="P24" s="34">
        <f>VLOOKUP($A24,Table1[],17,FALSE)</f>
        <v>680</v>
      </c>
      <c r="Q24" s="34">
        <f>VLOOKUP($A24,Table1[],18,FALSE)</f>
        <v>750</v>
      </c>
      <c r="R24" s="34">
        <f>VLOOKUP($A24,Table1[],20,FALSE)</f>
        <v>815.91000000000008</v>
      </c>
      <c r="S24" s="53">
        <f>VLOOKUP($A24,Table1[],21,FALSE)</f>
        <v>0.52104527080100393</v>
      </c>
      <c r="T24">
        <f>VLOOKUP($A24,Table1[],22,FALSE)</f>
        <v>93829650.000000015</v>
      </c>
      <c r="U24">
        <f>VLOOKUP($A24,Table1[],4,FALSE)</f>
        <v>857.61599999999999</v>
      </c>
      <c r="V24" s="46">
        <f>VLOOKUP($A24,Table1[],24,FALSE)</f>
        <v>2.4</v>
      </c>
      <c r="W24" s="35">
        <f>VLOOKUP($A24,Table1[],25,FALSE)</f>
        <v>0</v>
      </c>
      <c r="X24" s="35">
        <f>VLOOKUP($A24,Table1[],26,FALSE)</f>
        <v>0</v>
      </c>
      <c r="Y24" s="34">
        <f>VLOOKUP($A24,Table1[],27,FALSE)</f>
        <v>93829650.000000015</v>
      </c>
      <c r="Z24" s="54">
        <f>VLOOKUP($A24,Table1[],28,FALSE)</f>
        <v>9.1401385382978617</v>
      </c>
      <c r="AA24" s="34">
        <f>VLOOKUP($A24,Table1[],29,FALSE)</f>
        <v>9.19</v>
      </c>
      <c r="AB24" s="54">
        <f>VLOOKUP($A24,Table1[],30,FALSE)</f>
        <v>0.16</v>
      </c>
      <c r="AC24" s="34">
        <f>VLOOKUP($A24,Table1[],31,FALSE)</f>
        <v>24.0625</v>
      </c>
      <c r="AD24" s="53">
        <f>VLOOKUP($A24,Table1[],32,FALSE)</f>
        <v>0.92452830188679247</v>
      </c>
      <c r="AE24" s="53">
        <f>VLOOKUP($A24,Table1[],33,FALSE)</f>
        <v>0.2681</v>
      </c>
      <c r="AF24" s="53">
        <f>VLOOKUP($A24,Table1[],34,FALSE)</f>
        <v>0.33639999999999998</v>
      </c>
      <c r="AG24" s="53">
        <f>VLOOKUP($A24,Table1[],35,FALSE)</f>
        <v>0.32</v>
      </c>
      <c r="AH24" s="54">
        <f>VLOOKUP($A24,Table1[],36,FALSE)</f>
        <v>1.5666666666666667</v>
      </c>
      <c r="AI24" s="54">
        <f>VLOOKUP($A24,Table1[],37,FALSE)</f>
        <v>1</v>
      </c>
      <c r="AJ24" s="54">
        <f>VLOOKUP($A24,Table1[],38,FALSE)</f>
        <v>0.24</v>
      </c>
      <c r="AK24" s="54">
        <f>VLOOKUP($A24,Table1[],39,FALSE)</f>
        <v>0.19354838709677419</v>
      </c>
      <c r="AL24" s="54">
        <v>65</v>
      </c>
    </row>
    <row r="25" spans="1:38" x14ac:dyDescent="0.25">
      <c r="A25" t="e" vm="43">
        <f>'Production &amp; FA'!B35</f>
        <v>#VALUE!</v>
      </c>
      <c r="B25" t="str">
        <f>VLOOKUP($A25,Table1[],2,FALSE)</f>
        <v>Small Cap Junior</v>
      </c>
      <c r="C25" s="46">
        <f>VLOOKUP($A25,Table1[],3,FALSE)</f>
        <v>1.42</v>
      </c>
      <c r="D25" s="34">
        <f>VLOOKUP($A25,Table1[],4,FALSE)</f>
        <v>378.41660000000002</v>
      </c>
      <c r="E25" s="34">
        <f>VLOOKUP($A25,Table1[],5,FALSE)</f>
        <v>266490563.38028172</v>
      </c>
      <c r="F25">
        <f>VLOOKUP($A25,Table1[],6,FALSE)</f>
        <v>0.11</v>
      </c>
      <c r="G25" s="57">
        <f>VLOOKUP($A25,Table1[],7,FALSE)</f>
        <v>8.3969000000000002E-2</v>
      </c>
      <c r="H25" s="34">
        <f>VLOOKUP($A25,Table1[],8,FALSE)</f>
        <v>902717</v>
      </c>
      <c r="I25" s="46">
        <f>VLOOKUP($A25,Table1[],9,FALSE)</f>
        <v>2.84</v>
      </c>
      <c r="J25" s="46">
        <f>VLOOKUP($A25,Table1[],10,FALSE)</f>
        <v>0.76</v>
      </c>
      <c r="K25" s="34">
        <f>VLOOKUP($A25,Table1[],11,FALSE)</f>
        <v>175640</v>
      </c>
      <c r="L25" s="34">
        <f>VLOOKUP($A25,Table1[],12,FALSE)</f>
        <v>174420</v>
      </c>
      <c r="M25" s="34">
        <f>VLOOKUP($A25,Table1[],13,FALSE)</f>
        <v>172500</v>
      </c>
      <c r="N25" s="34">
        <f>VLOOKUP($A25,Table1[],14,FALSE)</f>
        <v>172500</v>
      </c>
      <c r="O25" s="34">
        <f>VLOOKUP($A25,Table1[],16,FALSE)</f>
        <v>1061</v>
      </c>
      <c r="P25" s="34">
        <f>VLOOKUP($A25,Table1[],17,FALSE)</f>
        <v>1083</v>
      </c>
      <c r="Q25" s="34">
        <f>VLOOKUP($A25,Table1[],18,FALSE)</f>
        <v>1100</v>
      </c>
      <c r="R25" s="34">
        <f>VLOOKUP($A25,Table1[],20,FALSE)</f>
        <v>465.91000000000008</v>
      </c>
      <c r="S25" s="53">
        <f>VLOOKUP($A25,Table1[],21,FALSE)</f>
        <v>0.29753306384147243</v>
      </c>
      <c r="T25">
        <f>VLOOKUP($A25,Table1[],22,FALSE)</f>
        <v>80369475.000000015</v>
      </c>
      <c r="U25">
        <f>VLOOKUP($A25,Table1[],4,FALSE)</f>
        <v>378.41660000000002</v>
      </c>
      <c r="V25" s="46">
        <f>VLOOKUP($A25,Table1[],24,FALSE)</f>
        <v>0.74</v>
      </c>
      <c r="W25" s="35">
        <f>VLOOKUP($A25,Table1[],25,FALSE)</f>
        <v>0</v>
      </c>
      <c r="X25" s="35">
        <f>VLOOKUP($A25,Table1[],26,FALSE)</f>
        <v>0</v>
      </c>
      <c r="Y25" s="34">
        <f>VLOOKUP($A25,Table1[],27,FALSE)</f>
        <v>80369475.000000015</v>
      </c>
      <c r="Z25" s="54">
        <f>VLOOKUP($A25,Table1[],28,FALSE)</f>
        <v>4.7084617636235642</v>
      </c>
      <c r="AA25" s="34">
        <f>VLOOKUP($A25,Table1[],29,FALSE)</f>
        <v>-9.7647058823529402</v>
      </c>
      <c r="AB25" s="54">
        <f>VLOOKUP($A25,Table1[],30,FALSE)</f>
        <v>-0.17</v>
      </c>
      <c r="AC25" s="34">
        <f>VLOOKUP($A25,Table1[],31,FALSE)</f>
        <v>-8.352941176470587</v>
      </c>
      <c r="AD25" s="53">
        <f>VLOOKUP($A25,Table1[],32,FALSE)</f>
        <v>0.73440047428486732</v>
      </c>
      <c r="AE25" s="53">
        <f>VLOOKUP($A25,Table1[],33,FALSE)</f>
        <v>-9.5699999999999993E-2</v>
      </c>
      <c r="AF25" s="53">
        <f>VLOOKUP($A25,Table1[],34,FALSE)</f>
        <v>-0.12130000000000001</v>
      </c>
      <c r="AG25" s="53">
        <f>VLOOKUP($A25,Table1[],35,FALSE)</f>
        <v>-0.51060000000000005</v>
      </c>
      <c r="AH25" s="54">
        <f>VLOOKUP($A25,Table1[],36,FALSE)</f>
        <v>1.8775510204081634</v>
      </c>
      <c r="AI25" s="54">
        <f>VLOOKUP($A25,Table1[],37,FALSE)</f>
        <v>0.93877551020408168</v>
      </c>
      <c r="AJ25" s="54">
        <f>VLOOKUP($A25,Table1[],38,FALSE)</f>
        <v>0.26452905811623245</v>
      </c>
      <c r="AK25" s="54">
        <f>VLOOKUP($A25,Table1[],39,FALSE)</f>
        <v>0.2091917591125198</v>
      </c>
      <c r="AL25" s="54">
        <v>69.291951219512185</v>
      </c>
    </row>
    <row r="26" spans="1:38" x14ac:dyDescent="0.25">
      <c r="A26" t="e" vm="49">
        <f>'Production &amp; FA'!B36</f>
        <v>#VALUE!</v>
      </c>
      <c r="B26" t="str">
        <f>VLOOKUP($A26,Table1[],2,FALSE)</f>
        <v>Small Cap Junior</v>
      </c>
      <c r="C26" s="46">
        <f>VLOOKUP($A26,Table1[],3,FALSE)</f>
        <v>1.06</v>
      </c>
      <c r="D26" s="34">
        <f>VLOOKUP($A26,Table1[],4,FALSE)</f>
        <v>673.53470000000004</v>
      </c>
      <c r="E26" s="34">
        <f>VLOOKUP($A26,Table1[],5,FALSE)</f>
        <v>635410094.33962262</v>
      </c>
      <c r="F26">
        <f>VLOOKUP($A26,Table1[],6,FALSE)</f>
        <v>0.06</v>
      </c>
      <c r="G26" s="57">
        <f>VLOOKUP($A26,Table1[],7,FALSE)</f>
        <v>0.06</v>
      </c>
      <c r="H26" s="34">
        <f>VLOOKUP($A26,Table1[],8,FALSE)</f>
        <v>5015125</v>
      </c>
      <c r="I26" s="46">
        <f>VLOOKUP($A26,Table1[],9,FALSE)</f>
        <v>2.0299999999999998</v>
      </c>
      <c r="J26" s="46">
        <f>VLOOKUP($A26,Table1[],10,FALSE)</f>
        <v>0.55000000000000004</v>
      </c>
      <c r="K26" s="34">
        <f>VLOOKUP($A26,Table1[],11,FALSE)</f>
        <v>522603</v>
      </c>
      <c r="L26" s="34">
        <f>VLOOKUP($A26,Table1[],12,FALSE)</f>
        <v>486141</v>
      </c>
      <c r="M26" s="34">
        <f>VLOOKUP($A26,Table1[],13,FALSE)</f>
        <v>326500</v>
      </c>
      <c r="N26" s="34">
        <f>VLOOKUP($A26,Table1[],14,FALSE)</f>
        <v>326500</v>
      </c>
      <c r="O26" s="34">
        <f>VLOOKUP($A26,Table1[],16,FALSE)</f>
        <v>1099</v>
      </c>
      <c r="P26" s="34">
        <f>VLOOKUP($A26,Table1[],17,FALSE)</f>
        <v>1310</v>
      </c>
      <c r="Q26" s="34">
        <f>VLOOKUP($A26,Table1[],18,FALSE)</f>
        <v>1300</v>
      </c>
      <c r="R26" s="34">
        <f>VLOOKUP($A26,Table1[],20,FALSE)</f>
        <v>265.91000000000008</v>
      </c>
      <c r="S26" s="53">
        <f>VLOOKUP($A26,Table1[],21,FALSE)</f>
        <v>0.16981180272174012</v>
      </c>
      <c r="T26">
        <f>VLOOKUP($A26,Table1[],22,FALSE)</f>
        <v>86819615.00000003</v>
      </c>
      <c r="U26">
        <f>VLOOKUP($A26,Table1[],4,FALSE)</f>
        <v>673.53470000000004</v>
      </c>
      <c r="V26" s="46">
        <f>VLOOKUP($A26,Table1[],24,FALSE)</f>
        <v>11.811</v>
      </c>
      <c r="W26" s="35">
        <f>VLOOKUP($A26,Table1[],25,FALSE)</f>
        <v>0</v>
      </c>
      <c r="X26" s="35">
        <f>VLOOKUP($A26,Table1[],26,FALSE)</f>
        <v>0</v>
      </c>
      <c r="Y26" s="34">
        <f>VLOOKUP($A26,Table1[],27,FALSE)</f>
        <v>86819615.00000003</v>
      </c>
      <c r="Z26" s="54">
        <f>VLOOKUP($A26,Table1[],28,FALSE)</f>
        <v>7.7578632432313803</v>
      </c>
      <c r="AA26" s="34">
        <f>VLOOKUP($A26,Table1[],29,FALSE)</f>
        <v>-9.5833333333333321</v>
      </c>
      <c r="AB26" s="54">
        <f>VLOOKUP($A26,Table1[],30,FALSE)</f>
        <v>-0.12</v>
      </c>
      <c r="AC26" s="34">
        <f>VLOOKUP($A26,Table1[],31,FALSE)</f>
        <v>-8.8333333333333339</v>
      </c>
      <c r="AD26" s="53">
        <f>VLOOKUP($A26,Table1[],32,FALSE)</f>
        <v>0.62233084641111402</v>
      </c>
      <c r="AE26" s="53">
        <f>VLOOKUP($A26,Table1[],33,FALSE)</f>
        <v>-3.4000000000000002E-2</v>
      </c>
      <c r="AF26" s="53">
        <f>VLOOKUP($A26,Table1[],34,FALSE)</f>
        <v>-7.6499999999999999E-2</v>
      </c>
      <c r="AG26" s="53">
        <f>VLOOKUP($A26,Table1[],35,FALSE)</f>
        <v>-0.1166</v>
      </c>
      <c r="AH26" s="54">
        <f>VLOOKUP($A26,Table1[],36,FALSE)</f>
        <v>1.3313953488372092</v>
      </c>
      <c r="AI26" s="54">
        <f>VLOOKUP($A26,Table1[],37,FALSE)</f>
        <v>0.48255813953488375</v>
      </c>
      <c r="AJ26" s="54">
        <f>VLOOKUP($A26,Table1[],38,FALSE)</f>
        <v>1.2455775234131112</v>
      </c>
      <c r="AK26" s="54">
        <f>VLOOKUP($A26,Table1[],39,FALSE)</f>
        <v>0.55442334414080596</v>
      </c>
      <c r="AL26" s="54">
        <v>79.146907216494839</v>
      </c>
    </row>
    <row r="27" spans="1:38" x14ac:dyDescent="0.25">
      <c r="A27" t="e" vm="54">
        <f>'Production &amp; FA'!B37</f>
        <v>#VALUE!</v>
      </c>
      <c r="B27" t="str">
        <f>VLOOKUP($A27,Table1[],2,FALSE)</f>
        <v>Small Cap Junior</v>
      </c>
      <c r="C27" s="46">
        <f>VLOOKUP($A27,Table1[],3,FALSE)</f>
        <v>9.65</v>
      </c>
      <c r="D27" s="34">
        <f>VLOOKUP($A27,Table1[],4,FALSE)</f>
        <v>1587.5340000000001</v>
      </c>
      <c r="E27" s="34">
        <f>VLOOKUP($A27,Table1[],5,FALSE)</f>
        <v>164511295.33678755</v>
      </c>
      <c r="F27">
        <f>VLOOKUP($A27,Table1[],6,FALSE)</f>
        <v>0.14000000000000001</v>
      </c>
      <c r="G27" s="57">
        <f>VLOOKUP($A27,Table1[],7,FALSE)</f>
        <v>1.4721E-2</v>
      </c>
      <c r="H27" s="34">
        <f>VLOOKUP($A27,Table1[],8,FALSE)</f>
        <v>1637950</v>
      </c>
      <c r="I27" s="46">
        <f>VLOOKUP($A27,Table1[],9,FALSE)</f>
        <v>9.65</v>
      </c>
      <c r="J27" s="46">
        <f>VLOOKUP($A27,Table1[],10,FALSE)</f>
        <v>2.97</v>
      </c>
      <c r="K27" s="34">
        <f>VLOOKUP($A27,Table1[],11,FALSE)</f>
        <v>245230</v>
      </c>
      <c r="L27" s="34">
        <f>VLOOKUP($A27,Table1[],12,FALSE)</f>
        <v>288768</v>
      </c>
      <c r="M27" s="34">
        <f>VLOOKUP($A27,Table1[],13,FALSE)</f>
        <v>350000</v>
      </c>
      <c r="N27" s="34">
        <f>VLOOKUP($A27,Table1[],14,FALSE)</f>
        <v>350000</v>
      </c>
      <c r="O27" s="34">
        <f>VLOOKUP($A27,Table1[],16,FALSE)</f>
        <v>887</v>
      </c>
      <c r="P27" s="34">
        <f>VLOOKUP($A27,Table1[],17,FALSE)</f>
        <v>963</v>
      </c>
      <c r="Q27" s="34">
        <f>VLOOKUP($A27,Table1[],18,FALSE)</f>
        <v>1037.5</v>
      </c>
      <c r="R27" s="34">
        <f>VLOOKUP($A27,Table1[],20,FALSE)</f>
        <v>528.41000000000008</v>
      </c>
      <c r="S27" s="53">
        <f>VLOOKUP($A27,Table1[],21,FALSE)</f>
        <v>0.33744595794138876</v>
      </c>
      <c r="T27">
        <f>VLOOKUP($A27,Table1[],22,FALSE)</f>
        <v>184943500.00000003</v>
      </c>
      <c r="U27">
        <f>VLOOKUP($A27,Table1[],4,FALSE)</f>
        <v>1587.5340000000001</v>
      </c>
      <c r="V27" s="46">
        <f>VLOOKUP($A27,Table1[],24,FALSE)</f>
        <v>2.19</v>
      </c>
      <c r="W27" s="35">
        <f>VLOOKUP($A27,Table1[],25,FALSE)</f>
        <v>0</v>
      </c>
      <c r="X27" s="35">
        <f>VLOOKUP($A27,Table1[],26,FALSE)</f>
        <v>0</v>
      </c>
      <c r="Y27" s="34">
        <f>VLOOKUP($A27,Table1[],27,FALSE)</f>
        <v>184943500.00000003</v>
      </c>
      <c r="Z27" s="54">
        <f>VLOOKUP($A27,Table1[],28,FALSE)</f>
        <v>8.5838864301800264</v>
      </c>
      <c r="AA27" s="34">
        <f>VLOOKUP($A27,Table1[],29,FALSE)</f>
        <v>-22.64516129032258</v>
      </c>
      <c r="AB27" s="54">
        <f>VLOOKUP($A27,Table1[],30,FALSE)</f>
        <v>-0.31</v>
      </c>
      <c r="AC27" s="34">
        <f>VLOOKUP($A27,Table1[],31,FALSE)</f>
        <v>-31.129032258064516</v>
      </c>
      <c r="AD27" s="53">
        <f>VLOOKUP($A27,Table1[],32,FALSE)</f>
        <v>0.21191031267142074</v>
      </c>
      <c r="AE27" s="53">
        <f>VLOOKUP($A27,Table1[],33,FALSE)</f>
        <v>-3.1600000000000003E-2</v>
      </c>
      <c r="AF27" s="53">
        <f>VLOOKUP($A27,Table1[],34,FALSE)</f>
        <v>-5.91E-2</v>
      </c>
      <c r="AG27" s="53">
        <f>VLOOKUP($A27,Table1[],35,FALSE)</f>
        <v>-9.4500000000000001E-2</v>
      </c>
      <c r="AH27" s="54">
        <f>VLOOKUP($A27,Table1[],36,FALSE)</f>
        <v>0.77960526315789469</v>
      </c>
      <c r="AI27" s="54">
        <f>VLOOKUP($A27,Table1[],37,FALSE)</f>
        <v>9.8684210526315791E-2</v>
      </c>
      <c r="AJ27" s="54">
        <f>VLOOKUP($A27,Table1[],38,FALSE)</f>
        <v>1.1420765027322404</v>
      </c>
      <c r="AK27" s="54">
        <f>VLOOKUP($A27,Table1[],39,FALSE)</f>
        <v>0.53061224489795922</v>
      </c>
      <c r="AL27" s="54">
        <v>69.176892253511355</v>
      </c>
    </row>
    <row r="28" spans="1:38" x14ac:dyDescent="0.25">
      <c r="A28" t="e" vm="58">
        <f>'Production &amp; FA'!B38</f>
        <v>#VALUE!</v>
      </c>
      <c r="B28" t="str">
        <f>VLOOKUP($A28,Table1[],2,FALSE)</f>
        <v>Small Cap Junior</v>
      </c>
      <c r="C28" s="46">
        <f>VLOOKUP($A28,Table1[],3,FALSE)</f>
        <v>1.29</v>
      </c>
      <c r="D28" s="34">
        <f>VLOOKUP($A28,Table1[],4,FALSE)</f>
        <v>126.8386</v>
      </c>
      <c r="E28" s="34">
        <f>VLOOKUP($A28,Table1[],5,FALSE)</f>
        <v>98324496.124031007</v>
      </c>
      <c r="F28">
        <f>VLOOKUP($A28,Table1[],6,FALSE)</f>
        <v>0.19</v>
      </c>
      <c r="G28" s="57">
        <f>VLOOKUP($A28,Table1[],7,FALSE)</f>
        <v>0.17272699999999999</v>
      </c>
      <c r="H28" s="34">
        <f>VLOOKUP($A28,Table1[],8,FALSE)</f>
        <v>1271742</v>
      </c>
      <c r="I28" s="46">
        <f>VLOOKUP($A28,Table1[],9,FALSE)</f>
        <v>6.95</v>
      </c>
      <c r="J28" s="46">
        <f>VLOOKUP($A28,Table1[],10,FALSE)</f>
        <v>0.44</v>
      </c>
      <c r="K28" s="34">
        <f>VLOOKUP($A28,Table1[],11,FALSE)</f>
        <v>110970</v>
      </c>
      <c r="L28" s="34">
        <f>VLOOKUP($A28,Table1[],12,FALSE)</f>
        <v>139510</v>
      </c>
      <c r="M28" s="34">
        <f>VLOOKUP($A28,Table1[],13,FALSE)</f>
        <v>113700</v>
      </c>
      <c r="N28" s="34">
        <f>VLOOKUP($A28,Table1[],14,FALSE)</f>
        <v>113700</v>
      </c>
      <c r="O28" s="34">
        <f>VLOOKUP($A28,Table1[],16,FALSE)</f>
        <v>1291</v>
      </c>
      <c r="P28" s="34">
        <f>VLOOKUP($A28,Table1[],17,FALSE)</f>
        <v>1075</v>
      </c>
      <c r="Q28" s="34">
        <f>VLOOKUP($A28,Table1[],18,FALSE)</f>
        <v>1100</v>
      </c>
      <c r="R28" s="34">
        <f>VLOOKUP($A28,Table1[],20,FALSE)</f>
        <v>465.91000000000008</v>
      </c>
      <c r="S28" s="53">
        <f>VLOOKUP($A28,Table1[],21,FALSE)</f>
        <v>0.29753306384147243</v>
      </c>
      <c r="T28">
        <f>VLOOKUP($A28,Table1[],22,FALSE)</f>
        <v>52973967.000000007</v>
      </c>
      <c r="U28">
        <f>VLOOKUP($A28,Table1[],4,FALSE)</f>
        <v>126.8386</v>
      </c>
      <c r="V28" s="46">
        <f>VLOOKUP($A28,Table1[],24,FALSE)</f>
        <v>5.2</v>
      </c>
      <c r="W28" s="35">
        <f>VLOOKUP($A28,Table1[],25,FALSE)</f>
        <v>0</v>
      </c>
      <c r="X28" s="35">
        <f>VLOOKUP($A28,Table1[],26,FALSE)</f>
        <v>0</v>
      </c>
      <c r="Y28" s="34">
        <f>VLOOKUP($A28,Table1[],27,FALSE)</f>
        <v>52973967.000000007</v>
      </c>
      <c r="Z28" s="54">
        <f>VLOOKUP($A28,Table1[],28,FALSE)</f>
        <v>2.3943572132326807</v>
      </c>
      <c r="AA28" s="34">
        <f>VLOOKUP($A28,Table1[],29,FALSE)</f>
        <v>0</v>
      </c>
      <c r="AB28" s="54">
        <f>VLOOKUP($A28,Table1[],30,FALSE)</f>
        <v>0</v>
      </c>
      <c r="AC28" s="34">
        <f>VLOOKUP($A28,Table1[],31,FALSE)</f>
        <v>0</v>
      </c>
      <c r="AD28" s="53">
        <f>VLOOKUP($A28,Table1[],32,FALSE)</f>
        <v>0</v>
      </c>
      <c r="AE28" s="53">
        <f>VLOOKUP($A28,Table1[],33,FALSE)</f>
        <v>0</v>
      </c>
      <c r="AF28" s="53">
        <f>VLOOKUP($A28,Table1[],34,FALSE)</f>
        <v>0</v>
      </c>
      <c r="AG28" s="53">
        <f>VLOOKUP($A28,Table1[],35,FALSE)</f>
        <v>0</v>
      </c>
      <c r="AH28" s="54">
        <f>VLOOKUP($A28,Table1[],36,FALSE)</f>
        <v>0</v>
      </c>
      <c r="AI28" s="54">
        <f>VLOOKUP($A28,Table1[],37,FALSE)</f>
        <v>0</v>
      </c>
      <c r="AJ28" s="54">
        <f>VLOOKUP($A28,Table1[],38,FALSE)</f>
        <v>0</v>
      </c>
      <c r="AK28" s="54">
        <f>VLOOKUP($A28,Table1[],39,FALSE)</f>
        <v>0</v>
      </c>
      <c r="AL28" s="54">
        <v>77.27</v>
      </c>
    </row>
    <row r="29" spans="1:38" x14ac:dyDescent="0.25">
      <c r="A29" t="e" vm="57">
        <f>'Production &amp; FA'!B39</f>
        <v>#VALUE!</v>
      </c>
      <c r="B29" t="str">
        <f>VLOOKUP($A29,Table1[],2,FALSE)</f>
        <v>Small Cap Junior</v>
      </c>
      <c r="C29" s="46">
        <f>VLOOKUP($A29,Table1[],3,FALSE)</f>
        <v>7.97</v>
      </c>
      <c r="D29" s="34">
        <f>VLOOKUP($A29,Table1[],4,FALSE)</f>
        <v>469.94389999999999</v>
      </c>
      <c r="E29" s="34">
        <f>VLOOKUP($A29,Table1[],5,FALSE)</f>
        <v>58964102.885821834</v>
      </c>
      <c r="F29">
        <f>VLOOKUP($A29,Table1[],6,FALSE)</f>
        <v>-0.08</v>
      </c>
      <c r="G29" s="57">
        <f>VLOOKUP($A29,Table1[],7,FALSE)</f>
        <v>-9.9380000000000007E-3</v>
      </c>
      <c r="H29" s="34">
        <f>VLOOKUP($A29,Table1[],8,FALSE)</f>
        <v>140550</v>
      </c>
      <c r="I29" s="46">
        <f>VLOOKUP($A29,Table1[],9,FALSE)</f>
        <v>9.9</v>
      </c>
      <c r="J29" s="46">
        <f>VLOOKUP($A29,Table1[],10,FALSE)</f>
        <v>4.0199999999999996</v>
      </c>
      <c r="K29" s="34">
        <f>VLOOKUP($A29,Table1[],11,FALSE)</f>
        <v>0</v>
      </c>
      <c r="L29" s="34">
        <f>VLOOKUP($A29,Table1[],12,FALSE)</f>
        <v>0</v>
      </c>
      <c r="M29" s="34">
        <f>VLOOKUP($A29,Table1[],13,FALSE)</f>
        <v>210000</v>
      </c>
      <c r="N29" s="34">
        <f>VLOOKUP($A29,Table1[],14,FALSE)</f>
        <v>210000</v>
      </c>
      <c r="O29" s="34">
        <f>VLOOKUP($A29,Table1[],16,FALSE)</f>
        <v>0</v>
      </c>
      <c r="P29" s="34">
        <f>VLOOKUP($A29,Table1[],17,FALSE)</f>
        <v>0</v>
      </c>
      <c r="Q29" s="34">
        <f>VLOOKUP($A29,Table1[],18,FALSE)</f>
        <v>800</v>
      </c>
      <c r="R29" s="34">
        <f>VLOOKUP($A29,Table1[],20,FALSE)</f>
        <v>765.91000000000008</v>
      </c>
      <c r="S29" s="53">
        <f>VLOOKUP($A29,Table1[],21,FALSE)</f>
        <v>0.48911495552107082</v>
      </c>
      <c r="T29">
        <f>VLOOKUP($A29,Table1[],22,FALSE)</f>
        <v>160841100.00000003</v>
      </c>
      <c r="U29">
        <f>VLOOKUP($A29,Table1[],4,FALSE)</f>
        <v>469.94389999999999</v>
      </c>
      <c r="V29" s="46">
        <f>VLOOKUP($A29,Table1[],24,FALSE)</f>
        <v>4.4000000000000004</v>
      </c>
      <c r="W29" s="35">
        <f>VLOOKUP($A29,Table1[],25,FALSE)</f>
        <v>0</v>
      </c>
      <c r="X29" s="35">
        <f>VLOOKUP($A29,Table1[],26,FALSE)</f>
        <v>0</v>
      </c>
      <c r="Y29" s="34">
        <f>VLOOKUP($A29,Table1[],27,FALSE)</f>
        <v>160841100.00000003</v>
      </c>
      <c r="Z29" s="54">
        <f>VLOOKUP($A29,Table1[],28,FALSE)</f>
        <v>2.9217898907679687</v>
      </c>
      <c r="AA29" s="34">
        <f>VLOOKUP($A29,Table1[],29,FALSE)</f>
        <v>0</v>
      </c>
      <c r="AB29" s="54">
        <f>VLOOKUP($A29,Table1[],30,FALSE)</f>
        <v>0</v>
      </c>
      <c r="AC29" s="34">
        <f>VLOOKUP($A29,Table1[],31,FALSE)</f>
        <v>0</v>
      </c>
      <c r="AD29" s="53">
        <f>VLOOKUP($A29,Table1[],32,FALSE)</f>
        <v>0</v>
      </c>
      <c r="AE29" s="53">
        <f>VLOOKUP($A29,Table1[],33,FALSE)</f>
        <v>0</v>
      </c>
      <c r="AF29" s="53">
        <f>VLOOKUP($A29,Table1[],34,FALSE)</f>
        <v>0</v>
      </c>
      <c r="AG29" s="53">
        <f>VLOOKUP($A29,Table1[],35,FALSE)</f>
        <v>0</v>
      </c>
      <c r="AH29" s="54">
        <f>VLOOKUP($A29,Table1[],36,FALSE)</f>
        <v>0.20454545454545456</v>
      </c>
      <c r="AI29" s="54">
        <f>VLOOKUP($A29,Table1[],37,FALSE)</f>
        <v>0.13636363636363635</v>
      </c>
      <c r="AJ29" s="54">
        <f>VLOOKUP($A29,Table1[],38,FALSE)</f>
        <v>0.33816964285714285</v>
      </c>
      <c r="AK29" s="54">
        <f>VLOOKUP($A29,Table1[],39,FALSE)</f>
        <v>0.25271059216013342</v>
      </c>
      <c r="AL29" s="54">
        <v>75</v>
      </c>
    </row>
    <row r="30" spans="1:38" x14ac:dyDescent="0.25">
      <c r="A30" t="e" vm="40">
        <f>'Production &amp; FA'!B40</f>
        <v>#VALUE!</v>
      </c>
      <c r="B30" t="str">
        <f>VLOOKUP($A30,Table1[],2,FALSE)</f>
        <v>Small Cap Junior</v>
      </c>
      <c r="C30" s="46">
        <f>VLOOKUP($A30,Table1[],3,FALSE)</f>
        <v>9.51</v>
      </c>
      <c r="D30" s="34">
        <f>VLOOKUP($A30,Table1[],4,FALSE)</f>
        <v>1348.1859999999999</v>
      </c>
      <c r="E30" s="34">
        <f>VLOOKUP($A30,Table1[],5,FALSE)</f>
        <v>141765089.37960044</v>
      </c>
      <c r="F30">
        <f>VLOOKUP($A30,Table1[],6,FALSE)</f>
        <v>-0.26</v>
      </c>
      <c r="G30" s="57">
        <f>VLOOKUP($A30,Table1[],7,FALSE)</f>
        <v>-2.6612E-2</v>
      </c>
      <c r="H30" s="34">
        <f>VLOOKUP($A30,Table1[],8,FALSE)</f>
        <v>1027871</v>
      </c>
      <c r="I30" s="46">
        <f>VLOOKUP($A30,Table1[],9,FALSE)</f>
        <v>11.06</v>
      </c>
      <c r="J30" s="46">
        <f>VLOOKUP($A30,Table1[],10,FALSE)</f>
        <v>3.96</v>
      </c>
      <c r="K30" s="34">
        <f>VLOOKUP($A30,Table1[],11,FALSE)</f>
        <v>71625</v>
      </c>
      <c r="L30" s="34">
        <f>VLOOKUP($A30,Table1[],12,FALSE)</f>
        <v>91688</v>
      </c>
      <c r="M30" s="34">
        <f>VLOOKUP($A30,Table1[],13,FALSE)</f>
        <v>95000</v>
      </c>
      <c r="N30" s="34">
        <f>VLOOKUP($A30,Table1[],14,FALSE)</f>
        <v>95000</v>
      </c>
      <c r="O30" s="34">
        <f>VLOOKUP($A30,Table1[],16,FALSE)</f>
        <v>1276</v>
      </c>
      <c r="P30" s="34">
        <f>VLOOKUP($A30,Table1[],17,FALSE)</f>
        <v>1293</v>
      </c>
      <c r="Q30" s="34">
        <f>VLOOKUP($A30,Table1[],18,FALSE)</f>
        <v>1315</v>
      </c>
      <c r="R30" s="34">
        <f>VLOOKUP($A30,Table1[],20,FALSE)</f>
        <v>250.91000000000008</v>
      </c>
      <c r="S30" s="53">
        <f>VLOOKUP($A30,Table1[],21,FALSE)</f>
        <v>0.16023270813776019</v>
      </c>
      <c r="T30">
        <f>VLOOKUP($A30,Table1[],22,FALSE)</f>
        <v>23836450.000000007</v>
      </c>
      <c r="U30">
        <f>VLOOKUP($A30,Table1[],4,FALSE)</f>
        <v>1348.1859999999999</v>
      </c>
      <c r="V30" s="46">
        <f>VLOOKUP($A30,Table1[],24,FALSE)</f>
        <v>0.5605</v>
      </c>
      <c r="W30" s="35">
        <f>VLOOKUP($A30,Table1[],25,FALSE)</f>
        <v>0</v>
      </c>
      <c r="X30" s="35">
        <f>VLOOKUP($A30,Table1[],26,FALSE)</f>
        <v>0</v>
      </c>
      <c r="Y30" s="34">
        <f>VLOOKUP($A30,Table1[],27,FALSE)</f>
        <v>23836450.000000007</v>
      </c>
      <c r="Z30" s="54">
        <f>VLOOKUP($A30,Table1[],28,FALSE)</f>
        <v>56.559848467368241</v>
      </c>
      <c r="AA30" s="34">
        <f>VLOOKUP($A30,Table1[],29,FALSE)</f>
        <v>44.22</v>
      </c>
      <c r="AB30" s="54">
        <f>VLOOKUP($A30,Table1[],30,FALSE)</f>
        <v>0.3</v>
      </c>
      <c r="AC30" s="34">
        <f>VLOOKUP($A30,Table1[],31,FALSE)</f>
        <v>31.7</v>
      </c>
      <c r="AD30" s="53">
        <f>VLOOKUP($A30,Table1[],32,FALSE)</f>
        <v>0.70695398709140111</v>
      </c>
      <c r="AE30" s="53">
        <f>VLOOKUP($A30,Table1[],33,FALSE)</f>
        <v>0.1653</v>
      </c>
      <c r="AF30" s="53">
        <f>VLOOKUP($A30,Table1[],34,FALSE)</f>
        <v>0.22520000000000001</v>
      </c>
      <c r="AG30" s="53">
        <f>VLOOKUP($A30,Table1[],35,FALSE)</f>
        <v>0.24970000000000001</v>
      </c>
      <c r="AH30" s="54">
        <f>VLOOKUP($A30,Table1[],36,FALSE)</f>
        <v>2.1785714285714284</v>
      </c>
      <c r="AI30" s="54">
        <f>VLOOKUP($A30,Table1[],37,FALSE)</f>
        <v>1.2857142857142858</v>
      </c>
      <c r="AJ30" s="54">
        <f>VLOOKUP($A30,Table1[],38,FALSE)</f>
        <v>0.38164251207729466</v>
      </c>
      <c r="AK30" s="54">
        <f>VLOOKUP($A30,Table1[],39,FALSE)</f>
        <v>0.2762237762237762</v>
      </c>
      <c r="AL30" s="54">
        <v>77.17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4EDFD-C849-413F-9E0E-733FD7F70912}">
  <sheetPr codeName="Sheet15">
    <tabColor rgb="FFFF0000"/>
  </sheetPr>
  <dimension ref="A1:AN30"/>
  <sheetViews>
    <sheetView workbookViewId="0">
      <pane xSplit="2" topLeftCell="T1" activePane="topRight" state="frozen"/>
      <selection pane="topRight" activeCell="AP32" sqref="AP32"/>
    </sheetView>
  </sheetViews>
  <sheetFormatPr defaultRowHeight="15" x14ac:dyDescent="0.25"/>
  <cols>
    <col min="1" max="1" width="39.42578125" bestFit="1" customWidth="1"/>
    <col min="2" max="2" width="15.85546875" bestFit="1" customWidth="1"/>
    <col min="4" max="4" width="18.85546875" customWidth="1"/>
    <col min="5" max="5" width="16.85546875" bestFit="1" customWidth="1"/>
    <col min="6" max="6" width="9.7109375" customWidth="1"/>
    <col min="7" max="7" width="13.140625" customWidth="1"/>
    <col min="8" max="8" width="10.140625" customWidth="1"/>
    <col min="9" max="9" width="14.7109375" customWidth="1"/>
    <col min="10" max="10" width="14.140625" customWidth="1"/>
    <col min="11" max="12" width="13.28515625" bestFit="1" customWidth="1"/>
    <col min="13" max="13" width="20.85546875" customWidth="1"/>
    <col min="14" max="14" width="24.85546875" customWidth="1"/>
    <col min="15" max="15" width="12.85546875" customWidth="1"/>
    <col min="16" max="17" width="12.5703125" customWidth="1"/>
    <col min="18" max="18" width="21.42578125" customWidth="1"/>
    <col min="19" max="19" width="12.7109375" customWidth="1"/>
    <col min="20" max="20" width="13.85546875" customWidth="1"/>
    <col min="21" max="21" width="11.42578125" customWidth="1"/>
    <col min="22" max="22" width="14.28515625" bestFit="1" customWidth="1"/>
    <col min="23" max="23" width="7.42578125" customWidth="1"/>
    <col min="24" max="24" width="20.7109375" customWidth="1"/>
    <col min="25" max="25" width="15.85546875" hidden="1" customWidth="1"/>
    <col min="26" max="26" width="20.7109375" hidden="1" customWidth="1"/>
    <col min="27" max="27" width="14.28515625" hidden="1" customWidth="1"/>
    <col min="28" max="28" width="13.85546875" hidden="1" customWidth="1"/>
    <col min="29" max="29" width="10.5703125" hidden="1" customWidth="1"/>
    <col min="30" max="30" width="10.7109375" hidden="1" customWidth="1"/>
    <col min="31" max="31" width="10.5703125" hidden="1" customWidth="1"/>
    <col min="32" max="32" width="17" hidden="1" customWidth="1"/>
    <col min="33" max="33" width="13.28515625" hidden="1" customWidth="1"/>
    <col min="34" max="34" width="13.42578125" hidden="1" customWidth="1"/>
    <col min="35" max="35" width="19" hidden="1" customWidth="1"/>
    <col min="36" max="36" width="14.85546875" hidden="1" customWidth="1"/>
    <col min="37" max="37" width="12.28515625" hidden="1" customWidth="1"/>
    <col min="38" max="38" width="13.7109375" hidden="1" customWidth="1"/>
    <col min="39" max="39" width="13.85546875" hidden="1" customWidth="1"/>
    <col min="40" max="40" width="9.28515625" customWidth="1"/>
  </cols>
  <sheetData>
    <row r="1" spans="1:40" ht="15.75" thickBot="1" x14ac:dyDescent="0.3">
      <c r="A1" s="49" t="s">
        <v>75</v>
      </c>
      <c r="B1" s="49" t="s">
        <v>95</v>
      </c>
      <c r="C1" s="49" t="s">
        <v>10</v>
      </c>
      <c r="D1" s="49" t="s">
        <v>45</v>
      </c>
      <c r="E1" s="49" t="s">
        <v>78</v>
      </c>
      <c r="F1" s="49" t="s">
        <v>51</v>
      </c>
      <c r="G1" s="49" t="s">
        <v>49</v>
      </c>
      <c r="H1" s="49" t="s">
        <v>121</v>
      </c>
      <c r="I1" s="49" t="s">
        <v>47</v>
      </c>
      <c r="J1" s="49" t="s">
        <v>48</v>
      </c>
      <c r="K1" s="49" t="s">
        <v>11</v>
      </c>
      <c r="L1" s="49" t="s">
        <v>12</v>
      </c>
      <c r="M1" s="49" t="s">
        <v>57</v>
      </c>
      <c r="N1" s="49" t="s">
        <v>60</v>
      </c>
      <c r="O1" s="49" t="s">
        <v>65</v>
      </c>
      <c r="P1" s="49" t="s">
        <v>62</v>
      </c>
      <c r="Q1" s="49" t="s">
        <v>61</v>
      </c>
      <c r="R1" s="49" t="s">
        <v>63</v>
      </c>
      <c r="S1" s="49" t="s">
        <v>64</v>
      </c>
      <c r="T1" s="49" t="s">
        <v>68</v>
      </c>
      <c r="U1" s="49" t="s">
        <v>74</v>
      </c>
      <c r="V1" s="49" t="s">
        <v>70</v>
      </c>
      <c r="W1" s="49" t="s">
        <v>77</v>
      </c>
      <c r="X1" s="49" t="s">
        <v>76</v>
      </c>
      <c r="Y1" s="49" t="s">
        <v>72</v>
      </c>
      <c r="Z1" s="49" t="s">
        <v>73</v>
      </c>
      <c r="AA1" s="49" t="s">
        <v>58</v>
      </c>
      <c r="AB1" s="49" t="s">
        <v>79</v>
      </c>
      <c r="AC1" s="49" t="s">
        <v>84</v>
      </c>
      <c r="AD1" s="49" t="s">
        <v>90</v>
      </c>
      <c r="AE1" s="49" t="s">
        <v>85</v>
      </c>
      <c r="AF1" s="49" t="s">
        <v>86</v>
      </c>
      <c r="AG1" s="49" t="s">
        <v>87</v>
      </c>
      <c r="AH1" s="49" t="s">
        <v>88</v>
      </c>
      <c r="AI1" s="49" t="s">
        <v>89</v>
      </c>
      <c r="AJ1" s="49" t="s">
        <v>14</v>
      </c>
      <c r="AK1" s="49" t="s">
        <v>15</v>
      </c>
      <c r="AL1" s="49" t="s">
        <v>17</v>
      </c>
      <c r="AM1" s="49" t="s">
        <v>18</v>
      </c>
      <c r="AN1" s="56" t="s">
        <v>264</v>
      </c>
    </row>
    <row r="2" spans="1:40" hidden="1" x14ac:dyDescent="0.25">
      <c r="A2" t="e" vm="38">
        <f>'Production &amp; FA'!B5</f>
        <v>#VALUE!</v>
      </c>
      <c r="B2" t="s">
        <v>96</v>
      </c>
      <c r="C2">
        <f>'Production &amp; FA'!C5</f>
        <v>82.76</v>
      </c>
      <c r="D2" s="50">
        <f>'Production &amp; FA'!D5</f>
        <v>48281.46</v>
      </c>
      <c r="E2" s="50">
        <f>'Production &amp; FA'!E5</f>
        <v>583391251.81246972</v>
      </c>
      <c r="F2" s="51">
        <f>_FV(A2,"Change")</f>
        <v>0.22</v>
      </c>
      <c r="G2" s="17">
        <f>_FV(A2,"Change (%)",TRUE)</f>
        <v>2.6650000000000003E-3</v>
      </c>
      <c r="H2" s="52">
        <f>_FV(A2,"Volume")</f>
        <v>228051</v>
      </c>
      <c r="I2" s="51">
        <f>_FV(A2,"52 week high",TRUE)</f>
        <v>84.2</v>
      </c>
      <c r="J2" s="51">
        <f>_FV(A2,"52 week low",TRUE)</f>
        <v>40.01</v>
      </c>
      <c r="K2" s="34">
        <f>'Production &amp; FA'!F5</f>
        <v>5101000</v>
      </c>
      <c r="L2" s="34">
        <f>'Production &amp; FA'!G5</f>
        <v>6004000</v>
      </c>
      <c r="M2" s="34">
        <f>'Production &amp; FA'!H5</f>
        <v>6400000</v>
      </c>
      <c r="N2" s="34">
        <f>'Production &amp; FA'!I5</f>
        <v>6400000</v>
      </c>
      <c r="O2" s="34">
        <f>'Production &amp; FA'!J5</f>
        <v>0</v>
      </c>
      <c r="P2" s="34">
        <f>'Production &amp; FA'!K5</f>
        <v>909</v>
      </c>
      <c r="Q2" s="34">
        <f>'Production &amp; FA'!L5</f>
        <v>966</v>
      </c>
      <c r="R2" s="34">
        <f>'Production &amp; FA'!M5</f>
        <v>975</v>
      </c>
      <c r="S2" s="34">
        <f>'Production &amp; FA'!N5</f>
        <v>0</v>
      </c>
      <c r="T2" s="34">
        <f>'Production &amp; FA'!O5</f>
        <v>590.91000000000008</v>
      </c>
      <c r="U2" s="53">
        <f>'Production &amp; FA'!P5</f>
        <v>0.3056606701534571</v>
      </c>
      <c r="V2" s="34">
        <f>'Production &amp; FA'!Q5</f>
        <v>3781824000.0000005</v>
      </c>
      <c r="W2" s="54">
        <f>'Production &amp; FA'!R5</f>
        <v>6.4824832190244468</v>
      </c>
      <c r="X2" s="54">
        <f>'Production &amp; FA'!S5</f>
        <v>65.400000000000006</v>
      </c>
      <c r="Y2" s="34">
        <f>'Production &amp; FA'!T5</f>
        <v>1400000</v>
      </c>
      <c r="Z2" s="34">
        <f>'Production &amp; FA'!U5</f>
        <v>827274000.00000012</v>
      </c>
      <c r="AA2" s="34">
        <f>'Production &amp; FA'!V5</f>
        <v>4609098000.000001</v>
      </c>
      <c r="AB2" s="54">
        <f>'Production &amp; FA'!W5</f>
        <v>12.766712570442197</v>
      </c>
      <c r="AC2" s="34">
        <f>'Production &amp; FA'!X5</f>
        <v>13.09</v>
      </c>
      <c r="AD2" s="54">
        <f>'Production &amp; FA'!Y5</f>
        <v>3.82</v>
      </c>
      <c r="AE2" s="34">
        <f>'Production &amp; FA'!Z5</f>
        <v>21.66492146596859</v>
      </c>
      <c r="AF2" s="53">
        <f>'Production &amp; FA'!AA5</f>
        <v>0.31978319783197839</v>
      </c>
      <c r="AG2" s="53">
        <f>'Production &amp; FA'!AB5</f>
        <v>9.4E-2</v>
      </c>
      <c r="AH2" s="53">
        <f>'Production &amp; FA'!AC5</f>
        <v>0.1757</v>
      </c>
      <c r="AI2" s="53">
        <f>'Production &amp; FA'!AD5</f>
        <v>0.28799999999999998</v>
      </c>
      <c r="AJ2" s="54">
        <f>'Production &amp; FA'!AE5</f>
        <v>2.629769392033543</v>
      </c>
      <c r="AK2" s="54">
        <f>'Production &amp; FA'!AF5</f>
        <v>1.0398322851153039</v>
      </c>
      <c r="AL2" s="54">
        <f>'Production &amp; FA'!AG5</f>
        <v>0.86619981325863682</v>
      </c>
      <c r="AM2" s="54">
        <f>'Production &amp; FA'!AH5</f>
        <v>0.46415169860409267</v>
      </c>
      <c r="AN2" s="83">
        <v>76.067219167321298</v>
      </c>
    </row>
    <row r="3" spans="1:40" x14ac:dyDescent="0.25">
      <c r="A3" t="e" vm="7">
        <f>'Production &amp; FA'!B14</f>
        <v>#VALUE!</v>
      </c>
      <c r="B3" t="s">
        <v>97</v>
      </c>
      <c r="C3">
        <f>'Production &amp; FA'!C14</f>
        <v>8.5</v>
      </c>
      <c r="D3" s="50">
        <f>'Production &amp; FA'!D14</f>
        <v>10860.91</v>
      </c>
      <c r="E3" s="50">
        <f>'Production &amp; FA'!E14</f>
        <v>1277754117.6470587</v>
      </c>
      <c r="F3" s="51">
        <f t="shared" ref="F3:F30" si="0">_FV(A3,"Change")</f>
        <v>-0.17</v>
      </c>
      <c r="G3" s="17">
        <f t="shared" ref="G3:G30" si="1">_FV(A3,"Change (%)",TRUE)</f>
        <v>-1.9608E-2</v>
      </c>
      <c r="H3" s="52">
        <f t="shared" ref="H3:H30" si="2">_FV(A3,"Volume")</f>
        <v>9603543</v>
      </c>
      <c r="I3" s="51">
        <f t="shared" ref="I3:I30" si="3">_FV(A3,"52 week high",TRUE)</f>
        <v>8.8000000000000007</v>
      </c>
      <c r="J3" s="51">
        <f t="shared" ref="J3:J30" si="4">_FV(A3,"52 week low",TRUE)</f>
        <v>4</v>
      </c>
      <c r="K3" s="34">
        <f>'Production &amp; FA'!F14</f>
        <v>2452398</v>
      </c>
      <c r="L3" s="34">
        <f>'Production &amp; FA'!G14</f>
        <v>2507659</v>
      </c>
      <c r="M3" s="34">
        <f>'Production &amp; FA'!H14</f>
        <v>2400000</v>
      </c>
      <c r="N3" s="34">
        <f>'Production &amp; FA'!I14</f>
        <v>2400000</v>
      </c>
      <c r="O3" s="34">
        <f>'Production &amp; FA'!J14</f>
        <v>0</v>
      </c>
      <c r="P3" s="34">
        <f>'Production &amp; FA'!K14</f>
        <v>965</v>
      </c>
      <c r="Q3" s="34">
        <f>'Production &amp; FA'!L14</f>
        <v>983</v>
      </c>
      <c r="R3" s="34">
        <f>'Production &amp; FA'!M14</f>
        <v>970</v>
      </c>
      <c r="S3" s="34">
        <f>'Production &amp; FA'!N14</f>
        <v>0</v>
      </c>
      <c r="T3" s="34">
        <f>'Production &amp; FA'!O14</f>
        <v>595.91000000000008</v>
      </c>
      <c r="U3" s="53">
        <f>'Production &amp; FA'!P14</f>
        <v>0.30824702569113166</v>
      </c>
      <c r="V3" s="34">
        <f>'Production &amp; FA'!Q14</f>
        <v>1430184000.0000002</v>
      </c>
      <c r="W3" s="54">
        <f>'Production &amp; FA'!R14</f>
        <v>1.1192951603502841</v>
      </c>
      <c r="X3" s="54">
        <f>'Production &amp; FA'!S14</f>
        <v>24.3</v>
      </c>
      <c r="Y3" s="34">
        <f>'Production &amp; FA'!T14</f>
        <v>0</v>
      </c>
      <c r="Z3" s="34">
        <f>'Production &amp; FA'!U14</f>
        <v>0</v>
      </c>
      <c r="AA3" s="34">
        <f>'Production &amp; FA'!V14</f>
        <v>1430184000.0000002</v>
      </c>
      <c r="AB3" s="54">
        <f>'Production &amp; FA'!W14</f>
        <v>7.5940648196315976</v>
      </c>
      <c r="AC3" s="34">
        <f>'Production &amp; FA'!X14</f>
        <v>34.49</v>
      </c>
      <c r="AD3" s="54">
        <f>'Production &amp; FA'!Y14</f>
        <v>0.56999999999999995</v>
      </c>
      <c r="AE3" s="34">
        <f>'Production &amp; FA'!Z14</f>
        <v>14.912280701754387</v>
      </c>
      <c r="AF3" s="53">
        <f>'Production &amp; FA'!AA14</f>
        <v>0.20000000000000018</v>
      </c>
      <c r="AG3" s="53">
        <f>'Production &amp; FA'!AB14</f>
        <v>8.3900000000000002E-2</v>
      </c>
      <c r="AH3" s="53">
        <f>'Production &amp; FA'!AC14</f>
        <v>0.14630000000000001</v>
      </c>
      <c r="AI3" s="53">
        <f>'Production &amp; FA'!AD14</f>
        <v>0.20549999999999999</v>
      </c>
      <c r="AJ3" s="54">
        <f>'Production &amp; FA'!AE14</f>
        <v>2.9626623376623376</v>
      </c>
      <c r="AK3" s="54">
        <f>'Production &amp; FA'!AF14</f>
        <v>0.93344155844155841</v>
      </c>
      <c r="AL3" s="54">
        <f>'Production &amp; FA'!AG14</f>
        <v>0.70652378266591465</v>
      </c>
      <c r="AM3" s="54">
        <f>'Production &amp; FA'!AH14</f>
        <v>0.41405905685323929</v>
      </c>
      <c r="AN3" s="83">
        <v>70.416270400711241</v>
      </c>
    </row>
    <row r="4" spans="1:40" hidden="1" x14ac:dyDescent="0.25">
      <c r="A4" t="e" vm="46">
        <f>'Production &amp; FA'!B7</f>
        <v>#VALUE!</v>
      </c>
      <c r="B4" t="s">
        <v>96</v>
      </c>
      <c r="C4">
        <f>'Production &amp; FA'!C7</f>
        <v>73.5</v>
      </c>
      <c r="D4" s="50">
        <f>'Production &amp; FA'!D7</f>
        <v>17240.53</v>
      </c>
      <c r="E4" s="50">
        <f>'Production &amp; FA'!E7</f>
        <v>234565034.01360545</v>
      </c>
      <c r="F4" s="51">
        <f t="shared" si="0"/>
        <v>1.66</v>
      </c>
      <c r="G4" s="17">
        <f t="shared" si="1"/>
        <v>2.3107000000000003E-2</v>
      </c>
      <c r="H4" s="52">
        <f t="shared" si="2"/>
        <v>1094146</v>
      </c>
      <c r="I4" s="51">
        <f t="shared" si="3"/>
        <v>86.39</v>
      </c>
      <c r="J4" s="51">
        <f t="shared" si="4"/>
        <v>43.25</v>
      </c>
      <c r="K4" s="34">
        <f>'Production &amp; FA'!F7</f>
        <v>1626669</v>
      </c>
      <c r="L4" s="34">
        <f>'Production &amp; FA'!G7</f>
        <v>1782147</v>
      </c>
      <c r="M4" s="34">
        <f>'Production &amp; FA'!H7</f>
        <v>2000000</v>
      </c>
      <c r="N4" s="34">
        <f>'Production &amp; FA'!I7</f>
        <v>1875000</v>
      </c>
      <c r="O4" s="34">
        <f>'Production &amp; FA'!J7</f>
        <v>0</v>
      </c>
      <c r="P4" s="34">
        <f>'Production &amp; FA'!K7</f>
        <v>877</v>
      </c>
      <c r="Q4" s="34">
        <f>'Production &amp; FA'!L7</f>
        <v>938</v>
      </c>
      <c r="R4" s="34">
        <f>'Production &amp; FA'!M7</f>
        <v>1000</v>
      </c>
      <c r="S4" s="34">
        <f>'Production &amp; FA'!N7</f>
        <v>0</v>
      </c>
      <c r="T4" s="34">
        <f>'Production &amp; FA'!O7</f>
        <v>565.91000000000008</v>
      </c>
      <c r="U4" s="53">
        <f>'Production &amp; FA'!P7</f>
        <v>0.29272889246508427</v>
      </c>
      <c r="V4" s="34">
        <f>'Production &amp; FA'!Q7</f>
        <v>1061081250.0000001</v>
      </c>
      <c r="W4" s="54">
        <f>'Production &amp; FA'!R7</f>
        <v>4.5236122018870653</v>
      </c>
      <c r="X4" s="54">
        <f>'Production &amp; FA'!S7</f>
        <v>21.585000000000001</v>
      </c>
      <c r="Y4" s="34">
        <f>'Production &amp; FA'!T7</f>
        <v>0</v>
      </c>
      <c r="Z4" s="34">
        <f>'Production &amp; FA'!U7</f>
        <v>0</v>
      </c>
      <c r="AA4" s="34">
        <f>'Production &amp; FA'!V7</f>
        <v>1061081250.0000001</v>
      </c>
      <c r="AB4" s="54">
        <f>'Production &amp; FA'!W7</f>
        <v>16.248077138296431</v>
      </c>
      <c r="AC4" s="34">
        <f>'Production &amp; FA'!X7</f>
        <v>39.99</v>
      </c>
      <c r="AD4" s="54">
        <f>'Production &amp; FA'!Y7</f>
        <v>2</v>
      </c>
      <c r="AE4" s="34">
        <f>'Production &amp; FA'!Z7</f>
        <v>36.75</v>
      </c>
      <c r="AF4" s="53">
        <f>'Production &amp; FA'!AA7</f>
        <v>0.11160714285714285</v>
      </c>
      <c r="AG4" s="53">
        <f>'Production &amp; FA'!AB7</f>
        <v>5.6899999999999999E-2</v>
      </c>
      <c r="AH4" s="53">
        <f>'Production &amp; FA'!AC7</f>
        <v>9.7900000000000001E-2</v>
      </c>
      <c r="AI4" s="53">
        <f>'Production &amp; FA'!AD7</f>
        <v>0.18790000000000001</v>
      </c>
      <c r="AJ4" s="54">
        <f>'Production &amp; FA'!AE7</f>
        <v>1.5386597938144331</v>
      </c>
      <c r="AK4" s="54">
        <f>'Production &amp; FA'!AF7</f>
        <v>0.41494845360824745</v>
      </c>
      <c r="AL4" s="54">
        <f>'Production &amp; FA'!AG7</f>
        <v>0.71948356807511737</v>
      </c>
      <c r="AM4" s="54">
        <f>'Production &amp; FA'!AH7</f>
        <v>0.41843003412969282</v>
      </c>
      <c r="AN4" s="83">
        <v>74.853145400593462</v>
      </c>
    </row>
    <row r="5" spans="1:40" hidden="1" x14ac:dyDescent="0.25">
      <c r="A5" t="e" vm="8">
        <f>'Production &amp; FA'!B8</f>
        <v>#VALUE!</v>
      </c>
      <c r="B5" t="s">
        <v>96</v>
      </c>
      <c r="C5">
        <f>'Production &amp; FA'!C8</f>
        <v>34</v>
      </c>
      <c r="D5" s="50">
        <f>'Production &amp; FA'!D8</f>
        <v>59864.49</v>
      </c>
      <c r="E5" s="50">
        <f>'Production &amp; FA'!E8</f>
        <v>1760720294.1176472</v>
      </c>
      <c r="F5" s="51">
        <f t="shared" si="0"/>
        <v>0.21</v>
      </c>
      <c r="G5" s="17">
        <f t="shared" si="1"/>
        <v>6.2150000000000009E-3</v>
      </c>
      <c r="H5" s="52">
        <f t="shared" si="2"/>
        <v>8285295</v>
      </c>
      <c r="I5" s="51">
        <f t="shared" si="3"/>
        <v>34.49</v>
      </c>
      <c r="J5" s="51">
        <f t="shared" si="4"/>
        <v>15.72</v>
      </c>
      <c r="K5" s="34">
        <f>'Production &amp; FA'!F8</f>
        <v>4527000</v>
      </c>
      <c r="L5" s="34">
        <f>'Production &amp; FA'!G8</f>
        <v>5465000</v>
      </c>
      <c r="M5" s="34">
        <f>'Production &amp; FA'!H8</f>
        <v>5000000</v>
      </c>
      <c r="N5" s="34">
        <f>'Production &amp; FA'!I8</f>
        <v>5000000</v>
      </c>
      <c r="O5" s="34">
        <f>'Production &amp; FA'!J8</f>
        <v>0</v>
      </c>
      <c r="P5" s="34">
        <f>'Production &amp; FA'!K8</f>
        <v>806</v>
      </c>
      <c r="Q5" s="34">
        <f>'Production &amp; FA'!L8</f>
        <v>894</v>
      </c>
      <c r="R5" s="34">
        <f>'Production &amp; FA'!M8</f>
        <v>945</v>
      </c>
      <c r="S5" s="34">
        <f>'Production &amp; FA'!N8</f>
        <v>0</v>
      </c>
      <c r="T5" s="34">
        <f>'Production &amp; FA'!O8</f>
        <v>620.91000000000008</v>
      </c>
      <c r="U5" s="53">
        <f>'Production &amp; FA'!P8</f>
        <v>0.32117880337950461</v>
      </c>
      <c r="V5" s="34">
        <f>'Production &amp; FA'!Q8</f>
        <v>3104550000.0000005</v>
      </c>
      <c r="W5" s="54">
        <f>'Production &amp; FA'!R8</f>
        <v>1.7632272487412823</v>
      </c>
      <c r="X5" s="54">
        <f>'Production &amp; FA'!S8</f>
        <v>71</v>
      </c>
      <c r="Y5" s="34">
        <f>'Production &amp; FA'!T8</f>
        <v>470000000</v>
      </c>
      <c r="Z5" s="34">
        <f>'Production &amp; FA'!U8</f>
        <v>-78666250.000000134</v>
      </c>
      <c r="AA5" s="34">
        <f>'Production &amp; FA'!V8</f>
        <v>3025883750.0000005</v>
      </c>
      <c r="AB5" s="54">
        <f>'Production &amp; FA'!W8</f>
        <v>19.282823597622841</v>
      </c>
      <c r="AC5" s="34">
        <f>'Production &amp; FA'!X8</f>
        <v>41.03</v>
      </c>
      <c r="AD5" s="54">
        <f>'Production &amp; FA'!Y8</f>
        <v>2.2599999999999998</v>
      </c>
      <c r="AE5" s="34">
        <f>'Production &amp; FA'!Z8</f>
        <v>15.044247787610621</v>
      </c>
      <c r="AF5" s="53">
        <f>'Production &amp; FA'!AA8</f>
        <v>0.16129032258064535</v>
      </c>
      <c r="AG5" s="53">
        <f>'Production &amp; FA'!AB8</f>
        <v>0.11840000000000001</v>
      </c>
      <c r="AH5" s="53">
        <f>'Production &amp; FA'!AC8</f>
        <v>0.27350000000000002</v>
      </c>
      <c r="AI5" s="53">
        <f>'Production &amp; FA'!AD8</f>
        <v>0.40849999999999997</v>
      </c>
      <c r="AJ5" s="54">
        <f>'Production &amp; FA'!AE8</f>
        <v>2.8985690235690234</v>
      </c>
      <c r="AK5" s="54">
        <f>'Production &amp; FA'!AF8</f>
        <v>1.3947811447811447</v>
      </c>
      <c r="AL5" s="54">
        <f>'Production &amp; FA'!AG8</f>
        <v>1.0712952594251586</v>
      </c>
      <c r="AM5" s="54">
        <f>'Production &amp; FA'!AH8</f>
        <v>0.51721030816363311</v>
      </c>
      <c r="AN5" s="83">
        <v>58.549534820824881</v>
      </c>
    </row>
    <row r="6" spans="1:40" hidden="1" x14ac:dyDescent="0.25">
      <c r="A6" t="e" vm="42">
        <f>'Production &amp; FA'!B6</f>
        <v>#VALUE!</v>
      </c>
      <c r="B6" t="s">
        <v>96</v>
      </c>
      <c r="C6">
        <f>'Production &amp; FA'!C6</f>
        <v>51.74</v>
      </c>
      <c r="D6" s="50">
        <f>'Production &amp; FA'!D6</f>
        <v>15191.53</v>
      </c>
      <c r="E6" s="50">
        <f>'Production &amp; FA'!E6</f>
        <v>293612872.05257052</v>
      </c>
      <c r="F6" s="51">
        <f t="shared" si="0"/>
        <v>-1.45</v>
      </c>
      <c r="G6" s="17">
        <f t="shared" si="1"/>
        <v>-2.7261000000000001E-2</v>
      </c>
      <c r="H6" s="52">
        <f t="shared" si="2"/>
        <v>2067289</v>
      </c>
      <c r="I6" s="51">
        <f t="shared" si="3"/>
        <v>67.87</v>
      </c>
      <c r="J6" s="51">
        <f t="shared" si="4"/>
        <v>25.67</v>
      </c>
      <c r="K6" s="34">
        <f>'Production &amp; FA'!F6</f>
        <v>723700</v>
      </c>
      <c r="L6" s="34">
        <f>'Production &amp; FA'!G6</f>
        <v>974615</v>
      </c>
      <c r="M6" s="34">
        <f>'Production &amp; FA'!H6</f>
        <v>1505000</v>
      </c>
      <c r="N6" s="34">
        <f>'Production &amp; FA'!I6</f>
        <v>1470000</v>
      </c>
      <c r="O6" s="34">
        <f>'Production &amp; FA'!J6</f>
        <v>0</v>
      </c>
      <c r="P6" s="34">
        <f>'Production &amp; FA'!K6</f>
        <v>685</v>
      </c>
      <c r="Q6" s="34">
        <f>'Production &amp; FA'!L6</f>
        <v>564</v>
      </c>
      <c r="R6" s="34">
        <f>'Production &amp; FA'!M6</f>
        <v>830</v>
      </c>
      <c r="S6" s="34">
        <f>'Production &amp; FA'!N6</f>
        <v>0</v>
      </c>
      <c r="T6" s="34">
        <f>'Production &amp; FA'!O6</f>
        <v>735.91000000000008</v>
      </c>
      <c r="U6" s="53">
        <f>'Production &amp; FA'!P6</f>
        <v>0.3806649807460199</v>
      </c>
      <c r="V6" s="34">
        <f>'Production &amp; FA'!Q6</f>
        <v>1081787700.0000002</v>
      </c>
      <c r="W6" s="54">
        <f>'Production &amp; FA'!R6</f>
        <v>3.6844014788503867</v>
      </c>
      <c r="X6" s="54">
        <f>'Production &amp; FA'!S6</f>
        <v>20.47</v>
      </c>
      <c r="Y6" s="34">
        <f>'Production &amp; FA'!T6</f>
        <v>0</v>
      </c>
      <c r="Z6" s="34">
        <f>'Production &amp; FA'!U6</f>
        <v>0</v>
      </c>
      <c r="AA6" s="34">
        <f>'Production &amp; FA'!V6</f>
        <v>1081787700.0000002</v>
      </c>
      <c r="AB6" s="54">
        <f>'Production &amp; FA'!W6</f>
        <v>14.042986438096861</v>
      </c>
      <c r="AC6" s="34">
        <f>'Production &amp; FA'!X6</f>
        <v>18.649999999999999</v>
      </c>
      <c r="AD6" s="54">
        <f>'Production &amp; FA'!Y6</f>
        <v>2.67</v>
      </c>
      <c r="AE6" s="34">
        <f>'Production &amp; FA'!Z6</f>
        <v>19.378277153558052</v>
      </c>
      <c r="AF6" s="53">
        <f>'Production &amp; FA'!AA6</f>
        <v>0.83999999999999986</v>
      </c>
      <c r="AG6" s="53">
        <f>'Production &amp; FA'!AB6</f>
        <v>0.26250000000000001</v>
      </c>
      <c r="AH6" s="53">
        <f>'Production &amp; FA'!AC6</f>
        <v>0.36370000000000002</v>
      </c>
      <c r="AI6" s="53">
        <f>'Production &amp; FA'!AD6</f>
        <v>0.40589999999999998</v>
      </c>
      <c r="AJ6" s="54">
        <f>'Production &amp; FA'!AE6</f>
        <v>1.9064748201438848</v>
      </c>
      <c r="AK6" s="54">
        <f>'Production &amp; FA'!AF6</f>
        <v>1.6954436450839327</v>
      </c>
      <c r="AL6" s="54">
        <f>'Production &amp; FA'!AG6</f>
        <v>0.40781507980187121</v>
      </c>
      <c r="AM6" s="54">
        <f>'Production &amp; FA'!AH6</f>
        <v>0.28967943706020327</v>
      </c>
      <c r="AN6" s="83">
        <v>71.8</v>
      </c>
    </row>
    <row r="7" spans="1:40" x14ac:dyDescent="0.25">
      <c r="A7" t="e" vm="3">
        <f>'Production &amp; FA'!B23</f>
        <v>#VALUE!</v>
      </c>
      <c r="B7" t="s">
        <v>98</v>
      </c>
      <c r="C7">
        <f>'Production &amp; FA'!C23</f>
        <v>4.29</v>
      </c>
      <c r="D7" s="50">
        <f>'Production &amp; FA'!D23</f>
        <v>2010.328</v>
      </c>
      <c r="E7" s="50">
        <f>'Production &amp; FA'!E23</f>
        <v>468607925.40792543</v>
      </c>
      <c r="F7" s="51">
        <f t="shared" si="0"/>
        <v>0</v>
      </c>
      <c r="G7" s="17">
        <f t="shared" si="1"/>
        <v>0</v>
      </c>
      <c r="H7" s="52">
        <f t="shared" si="2"/>
        <v>4095836</v>
      </c>
      <c r="I7" s="51">
        <f t="shared" si="3"/>
        <v>5.55</v>
      </c>
      <c r="J7" s="51">
        <f t="shared" si="4"/>
        <v>2</v>
      </c>
      <c r="K7" s="34">
        <f>'Production &amp; FA'!F23</f>
        <v>882000</v>
      </c>
      <c r="L7" s="34">
        <f>'Production &amp; FA'!G23</f>
        <v>762000</v>
      </c>
      <c r="M7" s="34">
        <f>'Production &amp; FA'!H23</f>
        <v>730000</v>
      </c>
      <c r="N7" s="34">
        <f>'Production &amp; FA'!I23</f>
        <v>730000</v>
      </c>
      <c r="O7" s="34">
        <f>'Production &amp; FA'!J23</f>
        <v>0</v>
      </c>
      <c r="P7" s="34">
        <f>'Production &amp; FA'!K23</f>
        <v>1068</v>
      </c>
      <c r="Q7" s="34">
        <f>'Production &amp; FA'!L23</f>
        <v>1141</v>
      </c>
      <c r="R7" s="34">
        <f>'Production &amp; FA'!M23</f>
        <v>1125</v>
      </c>
      <c r="S7" s="34">
        <f>'Production &amp; FA'!N23</f>
        <v>0</v>
      </c>
      <c r="T7" s="34">
        <f>'Production &amp; FA'!O23</f>
        <v>440.91000000000008</v>
      </c>
      <c r="U7" s="53">
        <f>'Production &amp; FA'!P23</f>
        <v>0.22807000402321975</v>
      </c>
      <c r="V7" s="34">
        <f>'Production &amp; FA'!Q23</f>
        <v>321864300.00000006</v>
      </c>
      <c r="W7" s="54">
        <f>'Production &amp; FA'!R23</f>
        <v>0.68685201967042209</v>
      </c>
      <c r="X7" s="54">
        <f>'Production &amp; FA'!S23</f>
        <v>16.706</v>
      </c>
      <c r="Y7" s="34">
        <f>'Production &amp; FA'!T23</f>
        <v>0</v>
      </c>
      <c r="Z7" s="34">
        <f>'Production &amp; FA'!U23</f>
        <v>0</v>
      </c>
      <c r="AA7" s="34">
        <f>'Production &amp; FA'!V23</f>
        <v>321864300.00000006</v>
      </c>
      <c r="AB7" s="54">
        <f>'Production &amp; FA'!W23</f>
        <v>6.2458868535590915</v>
      </c>
      <c r="AC7" s="34">
        <f>'Production &amp; FA'!X23</f>
        <v>-5.5113636363636358</v>
      </c>
      <c r="AD7" s="54">
        <f>'Production &amp; FA'!Y23</f>
        <v>-0.88</v>
      </c>
      <c r="AE7" s="34">
        <f>'Production &amp; FA'!Z23</f>
        <v>-4.875</v>
      </c>
      <c r="AF7" s="53">
        <f>'Production &amp; FA'!AA23</f>
        <v>-1.8348623853211024E-2</v>
      </c>
      <c r="AG7" s="53">
        <f>'Production &amp; FA'!AB23</f>
        <v>-0.1055</v>
      </c>
      <c r="AH7" s="53">
        <f>'Production &amp; FA'!AC23</f>
        <v>-0.16250000000000001</v>
      </c>
      <c r="AI7" s="53">
        <f>'Production &amp; FA'!AD23</f>
        <v>-0.38729999999999998</v>
      </c>
      <c r="AJ7" s="54">
        <f>'Production &amp; FA'!AE23</f>
        <v>4.7481203007518795</v>
      </c>
      <c r="AK7" s="54">
        <f>'Production &amp; FA'!AF23</f>
        <v>3.1240601503759398</v>
      </c>
      <c r="AL7" s="54">
        <f>'Production &amp; FA'!AG23</f>
        <v>0.64620630861040074</v>
      </c>
      <c r="AM7" s="54">
        <f>'Production &amp; FA'!AH23</f>
        <v>0.3925427239772139</v>
      </c>
      <c r="AN7" s="83">
        <v>73.357142857142861</v>
      </c>
    </row>
    <row r="8" spans="1:40" hidden="1" x14ac:dyDescent="0.25">
      <c r="A8" t="e" vm="48">
        <f>'Production &amp; FA'!B13</f>
        <v>#VALUE!</v>
      </c>
      <c r="B8" t="s">
        <v>97</v>
      </c>
      <c r="C8">
        <f>'Production &amp; FA'!C13</f>
        <v>23.44</v>
      </c>
      <c r="D8" s="50">
        <f>'Production &amp; FA'!D13</f>
        <v>8714.4380000000001</v>
      </c>
      <c r="E8" s="50">
        <f>'Production &amp; FA'!E13</f>
        <v>371776365.18771327</v>
      </c>
      <c r="F8" s="51">
        <f t="shared" si="0"/>
        <v>0.73</v>
      </c>
      <c r="G8" s="17">
        <f t="shared" si="1"/>
        <v>3.2143999999999999E-2</v>
      </c>
      <c r="H8" s="52">
        <f t="shared" si="2"/>
        <v>5812515</v>
      </c>
      <c r="I8" s="51">
        <f t="shared" si="3"/>
        <v>23.85</v>
      </c>
      <c r="J8" s="51">
        <f t="shared" si="4"/>
        <v>11.29</v>
      </c>
      <c r="K8" s="34">
        <f>'Production &amp; FA'!F13</f>
        <v>3400000</v>
      </c>
      <c r="L8" s="34">
        <f>'Production &amp; FA'!G13</f>
        <v>3281000</v>
      </c>
      <c r="M8" s="34">
        <f>'Production &amp; FA'!H13</f>
        <v>3175000</v>
      </c>
      <c r="N8" s="34">
        <f>'Production &amp; FA'!I13</f>
        <v>3175000</v>
      </c>
      <c r="O8" s="34">
        <f>'Production &amp; FA'!J13</f>
        <v>0</v>
      </c>
      <c r="P8" s="34">
        <f>'Production &amp; FA'!K13</f>
        <v>976</v>
      </c>
      <c r="Q8" s="34">
        <f>'Production &amp; FA'!L13</f>
        <v>1162</v>
      </c>
      <c r="R8" s="34">
        <f>'Production &amp; FA'!M13</f>
        <v>1070</v>
      </c>
      <c r="S8" s="34">
        <f>'Production &amp; FA'!N13</f>
        <v>0</v>
      </c>
      <c r="T8" s="34">
        <f>'Production &amp; FA'!O13</f>
        <v>495.91000000000008</v>
      </c>
      <c r="U8" s="53">
        <f>'Production &amp; FA'!P13</f>
        <v>0.25651991493764009</v>
      </c>
      <c r="V8" s="34">
        <f>'Production &amp; FA'!Q13</f>
        <v>1574514250.0000002</v>
      </c>
      <c r="W8" s="54">
        <f>'Production &amp; FA'!R13</f>
        <v>4.2351112051058264</v>
      </c>
      <c r="X8" s="54">
        <f>'Production &amp; FA'!S13</f>
        <v>27</v>
      </c>
      <c r="Y8" s="34">
        <f>'Production &amp; FA'!T13</f>
        <v>0</v>
      </c>
      <c r="Z8" s="34">
        <f>'Production &amp; FA'!U13</f>
        <v>0</v>
      </c>
      <c r="AA8" s="34">
        <f>'Production &amp; FA'!V13</f>
        <v>1574514250.0000002</v>
      </c>
      <c r="AB8" s="54">
        <f>'Production &amp; FA'!W13</f>
        <v>5.5346834746017688</v>
      </c>
      <c r="AC8" s="34">
        <f>'Production &amp; FA'!X13</f>
        <v>43.8</v>
      </c>
      <c r="AD8" s="54">
        <f>'Production &amp; FA'!Y13</f>
        <v>-0.03</v>
      </c>
      <c r="AE8" s="34">
        <f>'Production &amp; FA'!Z13</f>
        <v>20.45</v>
      </c>
      <c r="AF8" s="53">
        <f>'Production &amp; FA'!AA13</f>
        <v>4.129793510324474E-2</v>
      </c>
      <c r="AG8" s="53">
        <f>'Production &amp; FA'!AB13</f>
        <v>-1E-3</v>
      </c>
      <c r="AH8" s="53">
        <f>'Production &amp; FA'!AC13</f>
        <v>-2.5999999999999999E-3</v>
      </c>
      <c r="AI8" s="53">
        <f>'Production &amp; FA'!AD13</f>
        <v>-2E-3</v>
      </c>
      <c r="AJ8" s="54">
        <f>'Production &amp; FA'!AE13</f>
        <v>1.3792623521224774</v>
      </c>
      <c r="AK8" s="54">
        <f>'Production &amp; FA'!AF13</f>
        <v>0.31732776617954073</v>
      </c>
      <c r="AL8" s="54">
        <f>'Production &amp; FA'!AG13</f>
        <v>1.5996212121212121</v>
      </c>
      <c r="AM8" s="54">
        <f>'Production &amp; FA'!AH13</f>
        <v>0.61532857351012682</v>
      </c>
      <c r="AN8" s="83">
        <v>65.737609876543203</v>
      </c>
    </row>
    <row r="9" spans="1:40" hidden="1" x14ac:dyDescent="0.25">
      <c r="A9" t="e" vm="2">
        <f>'Production &amp; FA'!B9</f>
        <v>#VALUE!</v>
      </c>
      <c r="B9" t="s">
        <v>96</v>
      </c>
      <c r="C9">
        <f>'Production &amp; FA'!C9</f>
        <v>171.48</v>
      </c>
      <c r="D9" s="50">
        <f>'Production &amp; FA'!D9</f>
        <v>31893.98</v>
      </c>
      <c r="E9" s="50">
        <f>'Production &amp; FA'!E9</f>
        <v>185992418.94098437</v>
      </c>
      <c r="F9" s="51">
        <f t="shared" si="0"/>
        <v>2.4900000000000002</v>
      </c>
      <c r="G9" s="17">
        <f t="shared" si="1"/>
        <v>1.4735E-2</v>
      </c>
      <c r="H9" s="52">
        <f t="shared" si="2"/>
        <v>864675</v>
      </c>
      <c r="I9" s="51">
        <f t="shared" si="3"/>
        <v>171.48</v>
      </c>
      <c r="J9" s="51">
        <f t="shared" si="4"/>
        <v>93.24</v>
      </c>
      <c r="K9" s="34">
        <f>'Production &amp; FA'!F9</f>
        <v>447902</v>
      </c>
      <c r="L9" s="34">
        <f>'Production &amp; FA'!G9</f>
        <v>516438</v>
      </c>
      <c r="M9" s="34">
        <f>'Production &amp; FA'!H9</f>
        <v>565000</v>
      </c>
      <c r="N9" s="34">
        <f>'Production &amp; FA'!I9</f>
        <v>565000</v>
      </c>
      <c r="O9" s="34">
        <f>'Production &amp; FA'!J9</f>
        <v>0</v>
      </c>
      <c r="P9" s="34">
        <f>'Production &amp; FA'!K9</f>
        <v>239</v>
      </c>
      <c r="Q9" s="34">
        <f>'Production &amp; FA'!L9</f>
        <v>287</v>
      </c>
      <c r="R9" s="34">
        <f>'Production &amp; FA'!M9</f>
        <v>344.64016736401675</v>
      </c>
      <c r="S9" s="34">
        <f>'Production &amp; FA'!N9</f>
        <v>0</v>
      </c>
      <c r="T9" s="34">
        <f>'Production &amp; FA'!O9</f>
        <v>1221.2698326359832</v>
      </c>
      <c r="U9" s="53">
        <f>'Production &amp; FA'!P9</f>
        <v>0.63172759892659636</v>
      </c>
      <c r="V9" s="34">
        <f>'Production &amp; FA'!Q9</f>
        <v>690017455.43933058</v>
      </c>
      <c r="W9" s="54">
        <f>'Production &amp; FA'!R9</f>
        <v>3.7099224762396039</v>
      </c>
      <c r="X9" s="54">
        <f>'Production &amp; FA'!S9</f>
        <v>0</v>
      </c>
      <c r="Y9" s="34">
        <f>'Production &amp; FA'!T9</f>
        <v>0</v>
      </c>
      <c r="Z9" s="34">
        <f>'Production &amp; FA'!U9</f>
        <v>0</v>
      </c>
      <c r="AA9" s="34">
        <f>'Production &amp; FA'!V9</f>
        <v>690017455.43933058</v>
      </c>
      <c r="AB9" s="54">
        <f>'Production &amp; FA'!W9</f>
        <v>46.221990108486843</v>
      </c>
      <c r="AC9" s="34">
        <f>'Production &amp; FA'!X9</f>
        <v>96.84</v>
      </c>
      <c r="AD9" s="54">
        <f>'Production &amp; FA'!Y9</f>
        <v>1.83</v>
      </c>
      <c r="AE9" s="34">
        <f>'Production &amp; FA'!Z9</f>
        <v>93.704918032786878</v>
      </c>
      <c r="AF9" s="53">
        <f>'Production &amp; FA'!AA9</f>
        <v>0.25051851851851853</v>
      </c>
      <c r="AG9" s="53">
        <f>'Production &amp; FA'!AB9</f>
        <v>6.7400000000000002E-2</v>
      </c>
      <c r="AH9" s="53">
        <f>'Production &amp; FA'!AC9</f>
        <v>7.0999999999999994E-2</v>
      </c>
      <c r="AI9" s="53">
        <f>'Production &amp; FA'!AD9</f>
        <v>0.40770000000000001</v>
      </c>
      <c r="AJ9" s="54">
        <f>'Production &amp; FA'!AE9</f>
        <v>5.2641509433962268</v>
      </c>
      <c r="AK9" s="54">
        <f>'Production &amp; FA'!AF9</f>
        <v>2.4905660377358489</v>
      </c>
      <c r="AL9" s="54">
        <f>'Production &amp; FA'!AG9</f>
        <v>4.3065981825365467E-2</v>
      </c>
      <c r="AM9" s="54">
        <f>'Production &amp; FA'!AH9</f>
        <v>4.1280060594584361E-2</v>
      </c>
      <c r="AN9" s="83">
        <v>70.135273267521782</v>
      </c>
    </row>
    <row r="10" spans="1:40" x14ac:dyDescent="0.25">
      <c r="A10" t="e" vm="41">
        <f>'Production &amp; FA'!B22</f>
        <v>#VALUE!</v>
      </c>
      <c r="B10" t="s">
        <v>98</v>
      </c>
      <c r="C10">
        <f>'Production &amp; FA'!C22</f>
        <v>11.96</v>
      </c>
      <c r="D10" s="50">
        <f>'Production &amp; FA'!D22</f>
        <v>1990.627</v>
      </c>
      <c r="E10" s="50">
        <f>'Production &amp; FA'!E22</f>
        <v>166440384.61538461</v>
      </c>
      <c r="F10" s="51">
        <f t="shared" si="0"/>
        <v>-0.15</v>
      </c>
      <c r="G10" s="17">
        <f t="shared" si="1"/>
        <v>-1.2385999999999999E-2</v>
      </c>
      <c r="H10" s="52">
        <f t="shared" si="2"/>
        <v>2025737</v>
      </c>
      <c r="I10" s="51">
        <f t="shared" si="3"/>
        <v>14.99</v>
      </c>
      <c r="J10" s="51">
        <f t="shared" si="4"/>
        <v>4.0999999999999996</v>
      </c>
      <c r="K10" s="34">
        <f>'Production &amp; FA'!F22</f>
        <v>313797</v>
      </c>
      <c r="L10" s="34">
        <f>'Production &amp; FA'!G22</f>
        <v>395331</v>
      </c>
      <c r="M10" s="34">
        <f>'Production &amp; FA'!H22</f>
        <v>535000</v>
      </c>
      <c r="N10" s="34">
        <f>'Production &amp; FA'!I22</f>
        <v>535000</v>
      </c>
      <c r="O10" s="34">
        <f>'Production &amp; FA'!J22</f>
        <v>0</v>
      </c>
      <c r="P10" s="34">
        <f>'Production &amp; FA'!K22</f>
        <v>994</v>
      </c>
      <c r="Q10" s="34">
        <f>'Production &amp; FA'!L22</f>
        <v>1034</v>
      </c>
      <c r="R10" s="34">
        <f>'Production &amp; FA'!M22</f>
        <v>900</v>
      </c>
      <c r="S10" s="34">
        <f>'Production &amp; FA'!N22</f>
        <v>0</v>
      </c>
      <c r="T10" s="34">
        <f>'Production &amp; FA'!O22</f>
        <v>665.91000000000008</v>
      </c>
      <c r="U10" s="53">
        <f>'Production &amp; FA'!P22</f>
        <v>0.34445600321857583</v>
      </c>
      <c r="V10" s="34">
        <f>'Production &amp; FA'!Q22</f>
        <v>356261850.00000006</v>
      </c>
      <c r="W10" s="54">
        <f>'Production &amp; FA'!R22</f>
        <v>2.1404772094420506</v>
      </c>
      <c r="X10" s="54">
        <f>'Production &amp; FA'!S22</f>
        <v>16.359000000000002</v>
      </c>
      <c r="Y10" s="34">
        <f>'Production &amp; FA'!T22</f>
        <v>0</v>
      </c>
      <c r="Z10" s="34">
        <f>'Production &amp; FA'!U22</f>
        <v>0</v>
      </c>
      <c r="AA10" s="34">
        <f>'Production &amp; FA'!V22</f>
        <v>356261850.00000006</v>
      </c>
      <c r="AB10" s="54">
        <f>'Production &amp; FA'!W22</f>
        <v>5.5875390530869353</v>
      </c>
      <c r="AC10" s="34">
        <f>'Production &amp; FA'!X22</f>
        <v>20.450980392156861</v>
      </c>
      <c r="AD10" s="54">
        <f>'Production &amp; FA'!Y22</f>
        <v>0.51</v>
      </c>
      <c r="AE10" s="34">
        <f>'Production &amp; FA'!Z22</f>
        <v>23.450980392156865</v>
      </c>
      <c r="AF10" s="53">
        <f>'Production &amp; FA'!AA22</f>
        <v>0.58056265984654731</v>
      </c>
      <c r="AG10" s="53">
        <f>'Production &amp; FA'!AB22</f>
        <v>1.7399999999999999E-2</v>
      </c>
      <c r="AH10" s="53">
        <f>'Production &amp; FA'!AC22</f>
        <v>2.41E-2</v>
      </c>
      <c r="AI10" s="53">
        <f>'Production &amp; FA'!AD22</f>
        <v>0.13039999999999999</v>
      </c>
      <c r="AJ10" s="54">
        <f>'Production &amp; FA'!AE22</f>
        <v>1.9639639639639639</v>
      </c>
      <c r="AK10" s="54">
        <f>'Production &amp; FA'!AF22</f>
        <v>0.80180180180180183</v>
      </c>
      <c r="AL10" s="54">
        <f>'Production &amp; FA'!AG22</f>
        <v>0.36134699853587116</v>
      </c>
      <c r="AM10" s="54">
        <f>'Production &amp; FA'!AH22</f>
        <v>0.26543342654334268</v>
      </c>
      <c r="AN10" s="83">
        <v>45.354572834994777</v>
      </c>
    </row>
    <row r="11" spans="1:40" hidden="1" x14ac:dyDescent="0.25">
      <c r="A11" t="e" vm="52">
        <f>'Production &amp; FA'!B16</f>
        <v>#VALUE!</v>
      </c>
      <c r="B11" t="s">
        <v>97</v>
      </c>
      <c r="C11">
        <f>'Production &amp; FA'!C16</f>
        <v>5.92</v>
      </c>
      <c r="D11" s="50">
        <f>'Production &amp; FA'!D16</f>
        <v>5471.223</v>
      </c>
      <c r="E11" s="50">
        <f>'Production &amp; FA'!E16</f>
        <v>924193074.32432437</v>
      </c>
      <c r="F11" s="51">
        <f t="shared" si="0"/>
        <v>0.15</v>
      </c>
      <c r="G11" s="17">
        <f t="shared" si="1"/>
        <v>2.5996999999999999E-2</v>
      </c>
      <c r="H11" s="52">
        <f t="shared" si="2"/>
        <v>11375278</v>
      </c>
      <c r="I11" s="51">
        <f t="shared" si="3"/>
        <v>6.56</v>
      </c>
      <c r="J11" s="51">
        <f t="shared" si="4"/>
        <v>2.41</v>
      </c>
      <c r="K11" s="34">
        <f>'Production &amp; FA'!F16</f>
        <v>1133635</v>
      </c>
      <c r="L11" s="34">
        <f>'Production &amp; FA'!G16</f>
        <v>1024454</v>
      </c>
      <c r="M11" s="34">
        <f>'Production &amp; FA'!H16</f>
        <v>990000</v>
      </c>
      <c r="N11" s="34">
        <f>'Production &amp; FA'!I16</f>
        <v>990000</v>
      </c>
      <c r="O11" s="34">
        <f>'Production &amp; FA'!J16</f>
        <v>0</v>
      </c>
      <c r="P11" s="34">
        <f>'Production &amp; FA'!K16</f>
        <v>971</v>
      </c>
      <c r="Q11" s="34">
        <f>'Production &amp; FA'!L16</f>
        <v>978</v>
      </c>
      <c r="R11" s="34">
        <f>'Production &amp; FA'!M16</f>
        <v>999</v>
      </c>
      <c r="S11" s="34">
        <f>'Production &amp; FA'!N16</f>
        <v>0</v>
      </c>
      <c r="T11" s="34">
        <f>'Production &amp; FA'!O16</f>
        <v>566.91000000000008</v>
      </c>
      <c r="U11" s="53">
        <f>'Production &amp; FA'!P16</f>
        <v>0.29324616357261918</v>
      </c>
      <c r="V11" s="34">
        <f>'Production &amp; FA'!Q16</f>
        <v>561240900.00000012</v>
      </c>
      <c r="W11" s="54">
        <f>'Production &amp; FA'!R16</f>
        <v>0.60727667799320195</v>
      </c>
      <c r="X11" s="54">
        <f>'Production &amp; FA'!S16</f>
        <v>7.8</v>
      </c>
      <c r="Y11" s="34">
        <f>'Production &amp; FA'!T16</f>
        <v>0</v>
      </c>
      <c r="Z11" s="34">
        <f>'Production &amp; FA'!U16</f>
        <v>0</v>
      </c>
      <c r="AA11" s="34">
        <f>'Production &amp; FA'!V16</f>
        <v>561240900.00000012</v>
      </c>
      <c r="AB11" s="54">
        <f>'Production &amp; FA'!W16</f>
        <v>9.7484395738086782</v>
      </c>
      <c r="AC11" s="34">
        <f>'Production &amp; FA'!X16</f>
        <v>24.59</v>
      </c>
      <c r="AD11" s="54">
        <f>'Production &amp; FA'!Y16</f>
        <v>0.24</v>
      </c>
      <c r="AE11" s="34">
        <f>'Production &amp; FA'!Z16</f>
        <v>24.666666666666668</v>
      </c>
      <c r="AF11" s="53">
        <f>'Production &amp; FA'!AA16</f>
        <v>-0.10555555555555553</v>
      </c>
      <c r="AG11" s="53">
        <f>'Production &amp; FA'!AB16</f>
        <v>2.98E-2</v>
      </c>
      <c r="AH11" s="53">
        <f>'Production &amp; FA'!AC16</f>
        <v>5.5199999999999999E-2</v>
      </c>
      <c r="AI11" s="53">
        <f>'Production &amp; FA'!AD16</f>
        <v>0.1399</v>
      </c>
      <c r="AJ11" s="54">
        <f>'Production &amp; FA'!AE16</f>
        <v>0.98432908912830563</v>
      </c>
      <c r="AK11" s="54">
        <f>'Production &amp; FA'!AF16</f>
        <v>0.38883447600391779</v>
      </c>
      <c r="AL11" s="54">
        <f>'Production &amp; FA'!AG16</f>
        <v>0.6865802507168417</v>
      </c>
      <c r="AM11" s="54">
        <f>'Production &amp; FA'!AH16</f>
        <v>0.40708424661383696</v>
      </c>
      <c r="AN11" s="83">
        <v>66.715699999999998</v>
      </c>
    </row>
    <row r="12" spans="1:40" hidden="1" x14ac:dyDescent="0.25">
      <c r="A12" t="e" vm="55">
        <f>'Production &amp; FA'!B17</f>
        <v>#VALUE!</v>
      </c>
      <c r="B12" t="s">
        <v>97</v>
      </c>
      <c r="C12">
        <f>'Production &amp; FA'!C17</f>
        <v>10.94</v>
      </c>
      <c r="D12" s="50">
        <f>'Production &amp; FA'!D17</f>
        <v>2039.2380000000001</v>
      </c>
      <c r="E12" s="50">
        <f>'Production &amp; FA'!E17</f>
        <v>186402010.96892139</v>
      </c>
      <c r="F12" s="51">
        <f t="shared" si="0"/>
        <v>-0.06</v>
      </c>
      <c r="G12" s="17">
        <f t="shared" si="1"/>
        <v>-5.4549999999999998E-3</v>
      </c>
      <c r="H12" s="52">
        <f t="shared" si="2"/>
        <v>1029446</v>
      </c>
      <c r="I12" s="51">
        <f t="shared" si="3"/>
        <v>18.295000000000002</v>
      </c>
      <c r="J12" s="51">
        <f t="shared" si="4"/>
        <v>6.25</v>
      </c>
      <c r="K12" s="34">
        <f>'Production &amp; FA'!F17</f>
        <v>367428</v>
      </c>
      <c r="L12" s="34">
        <f>'Production &amp; FA'!G17</f>
        <v>351348</v>
      </c>
      <c r="M12" s="34">
        <f>'Production &amp; FA'!H17</f>
        <v>345000</v>
      </c>
      <c r="N12" s="34">
        <f>'Production &amp; FA'!I17</f>
        <v>345000</v>
      </c>
      <c r="O12" s="34">
        <f>'Production &amp; FA'!J17</f>
        <v>0</v>
      </c>
      <c r="P12" s="34">
        <f>'Production &amp; FA'!K17</f>
        <v>745</v>
      </c>
      <c r="Q12" s="34">
        <f>'Production &amp; FA'!L17</f>
        <v>888</v>
      </c>
      <c r="R12" s="34">
        <f>'Production &amp; FA'!M17</f>
        <v>985</v>
      </c>
      <c r="S12" s="34">
        <f>'Production &amp; FA'!N17</f>
        <v>0</v>
      </c>
      <c r="T12" s="34">
        <f>'Production &amp; FA'!O17</f>
        <v>580.91000000000008</v>
      </c>
      <c r="U12" s="53">
        <f>'Production &amp; FA'!P17</f>
        <v>0.30048795907810799</v>
      </c>
      <c r="V12" s="34">
        <f>'Production &amp; FA'!Q17</f>
        <v>200413950.00000003</v>
      </c>
      <c r="W12" s="54">
        <f>'Production &amp; FA'!R17</f>
        <v>1.0751705357589454</v>
      </c>
      <c r="X12" s="54">
        <f>'Production &amp; FA'!S17</f>
        <v>3.6</v>
      </c>
      <c r="Y12" s="34">
        <f>'Production &amp; FA'!T17</f>
        <v>0</v>
      </c>
      <c r="Z12" s="34">
        <f>'Production &amp; FA'!U17</f>
        <v>0</v>
      </c>
      <c r="AA12" s="34">
        <f>'Production &amp; FA'!V17</f>
        <v>200413950.00000003</v>
      </c>
      <c r="AB12" s="54">
        <f>'Production &amp; FA'!W17</f>
        <v>10.175130024631518</v>
      </c>
      <c r="AC12" s="34">
        <f>'Production &amp; FA'!X17</f>
        <v>92.18</v>
      </c>
      <c r="AD12" s="54">
        <f>'Production &amp; FA'!Y17</f>
        <v>0.22</v>
      </c>
      <c r="AE12" s="34">
        <f>'Production &amp; FA'!Z17</f>
        <v>49.727272727272727</v>
      </c>
      <c r="AF12" s="53">
        <f>'Production &amp; FA'!AA17</f>
        <v>1.7247191011235956</v>
      </c>
      <c r="AG12" s="53">
        <f>'Production &amp; FA'!AB17</f>
        <v>2.5700000000000001E-2</v>
      </c>
      <c r="AH12" s="53">
        <f>'Production &amp; FA'!AC17</f>
        <v>4.41E-2</v>
      </c>
      <c r="AI12" s="53">
        <f>'Production &amp; FA'!AD17</f>
        <v>8.4400000000000003E-2</v>
      </c>
      <c r="AJ12" s="54">
        <f>'Production &amp; FA'!AE17</f>
        <v>0.48837209302325579</v>
      </c>
      <c r="AK12" s="54">
        <f>'Production &amp; FA'!AF17</f>
        <v>0.17829457364341086</v>
      </c>
      <c r="AL12" s="54">
        <f>'Production &amp; FA'!AG17</f>
        <v>0.64884696016771493</v>
      </c>
      <c r="AM12" s="54">
        <f>'Production &amp; FA'!AH17</f>
        <v>0.39351557533375714</v>
      </c>
      <c r="AN12" s="83">
        <v>81</v>
      </c>
    </row>
    <row r="13" spans="1:40" hidden="1" x14ac:dyDescent="0.25">
      <c r="A13" t="e" vm="6">
        <f>'Production &amp; FA'!B18</f>
        <v>#VALUE!</v>
      </c>
      <c r="B13" t="s">
        <v>97</v>
      </c>
      <c r="C13">
        <f>'Production &amp; FA'!C18</f>
        <v>6.79</v>
      </c>
      <c r="D13" s="50">
        <f>'Production &amp; FA'!D18</f>
        <v>3750.355</v>
      </c>
      <c r="E13" s="50">
        <f>'Production &amp; FA'!E18</f>
        <v>552335051.54639173</v>
      </c>
      <c r="F13" s="51">
        <f t="shared" si="0"/>
        <v>-0.14000000000000001</v>
      </c>
      <c r="G13" s="17">
        <f t="shared" si="1"/>
        <v>-2.0202000000000001E-2</v>
      </c>
      <c r="H13" s="52">
        <f t="shared" si="2"/>
        <v>5215829</v>
      </c>
      <c r="I13" s="51">
        <f t="shared" si="3"/>
        <v>7.7750000000000004</v>
      </c>
      <c r="J13" s="51">
        <f t="shared" si="4"/>
        <v>3.34</v>
      </c>
      <c r="K13" s="34">
        <f>'Production &amp; FA'!F18</f>
        <v>505000</v>
      </c>
      <c r="L13" s="34">
        <f>'Production &amp; FA'!G18</f>
        <v>495500</v>
      </c>
      <c r="M13" s="34">
        <f>'Production &amp; FA'!H18</f>
        <v>445000</v>
      </c>
      <c r="N13" s="34">
        <f>'Production &amp; FA'!I18</f>
        <v>445000</v>
      </c>
      <c r="O13" s="34">
        <f>'Production &amp; FA'!J18</f>
        <v>0</v>
      </c>
      <c r="P13" s="34">
        <f>'Production &amp; FA'!K18</f>
        <v>989</v>
      </c>
      <c r="Q13" s="34">
        <f>'Production &amp; FA'!L18</f>
        <v>951</v>
      </c>
      <c r="R13" s="34">
        <f>'Production &amp; FA'!M18</f>
        <v>1040</v>
      </c>
      <c r="S13" s="34">
        <f>'Production &amp; FA'!N18</f>
        <v>0</v>
      </c>
      <c r="T13" s="34">
        <f>'Production &amp; FA'!O18</f>
        <v>525.91000000000008</v>
      </c>
      <c r="U13" s="53">
        <f>'Production &amp; FA'!P18</f>
        <v>0.2720380481636876</v>
      </c>
      <c r="V13" s="34">
        <f>'Production &amp; FA'!Q18</f>
        <v>234029950.00000003</v>
      </c>
      <c r="W13" s="54">
        <f>'Production &amp; FA'!R18</f>
        <v>0.42371011824213983</v>
      </c>
      <c r="X13" s="54">
        <f>'Production &amp; FA'!S18</f>
        <v>9.7260000000000009</v>
      </c>
      <c r="Y13" s="34">
        <f>'Production &amp; FA'!T18</f>
        <v>0</v>
      </c>
      <c r="Z13" s="34">
        <f>'Production &amp; FA'!U18</f>
        <v>0</v>
      </c>
      <c r="AA13" s="34">
        <f>'Production &amp; FA'!V18</f>
        <v>234029950.00000003</v>
      </c>
      <c r="AB13" s="54">
        <f>'Production &amp; FA'!W18</f>
        <v>16.025107042923349</v>
      </c>
      <c r="AC13" s="34">
        <f>'Production &amp; FA'!X18</f>
        <v>31.32</v>
      </c>
      <c r="AD13" s="54">
        <f>'Production &amp; FA'!Y18</f>
        <v>0.25</v>
      </c>
      <c r="AE13" s="34">
        <f>'Production &amp; FA'!Z18</f>
        <v>27.16</v>
      </c>
      <c r="AF13" s="53">
        <f>'Production &amp; FA'!AA18</f>
        <v>0.25847457627118658</v>
      </c>
      <c r="AG13" s="53">
        <f>'Production &amp; FA'!AB18</f>
        <v>2.8899999999999999E-2</v>
      </c>
      <c r="AH13" s="53">
        <f>'Production &amp; FA'!AC18</f>
        <v>3.6299999999999999E-2</v>
      </c>
      <c r="AI13" s="53">
        <f>'Production &amp; FA'!AD18</f>
        <v>0.14069999999999999</v>
      </c>
      <c r="AJ13" s="54">
        <f>'Production &amp; FA'!AE18</f>
        <v>3.1023622047244093</v>
      </c>
      <c r="AK13" s="54">
        <f>'Production &amp; FA'!AF18</f>
        <v>1.4409448818897639</v>
      </c>
      <c r="AL13" s="54">
        <f>'Production &amp; FA'!AG18</f>
        <v>0.26011131725417441</v>
      </c>
      <c r="AM13" s="54">
        <f>'Production &amp; FA'!AH18</f>
        <v>0.20635855166323228</v>
      </c>
      <c r="AN13" s="83">
        <v>74.234820982514577</v>
      </c>
    </row>
    <row r="14" spans="1:40" x14ac:dyDescent="0.25">
      <c r="A14" t="e" vm="51">
        <f>'Production &amp; FA'!B32</f>
        <v>#VALUE!</v>
      </c>
      <c r="B14" t="s">
        <v>99</v>
      </c>
      <c r="C14">
        <f>'Production &amp; FA'!C32</f>
        <v>10.55</v>
      </c>
      <c r="D14" s="50">
        <f>'Production &amp; FA'!D32</f>
        <v>2256.4760000000001</v>
      </c>
      <c r="E14" s="50">
        <f>'Production &amp; FA'!E32</f>
        <v>213883981.04265401</v>
      </c>
      <c r="F14" s="51">
        <f t="shared" si="0"/>
        <v>0.1</v>
      </c>
      <c r="G14" s="17">
        <f t="shared" si="1"/>
        <v>9.5689999999999994E-3</v>
      </c>
      <c r="H14" s="52">
        <f t="shared" si="2"/>
        <v>2641712</v>
      </c>
      <c r="I14" s="51">
        <f t="shared" si="3"/>
        <v>13.52</v>
      </c>
      <c r="J14" s="51">
        <f t="shared" si="4"/>
        <v>4.9000000000000004</v>
      </c>
      <c r="K14" s="34">
        <f>'Production &amp; FA'!F32</f>
        <v>25601</v>
      </c>
      <c r="L14" s="34">
        <f>'Production &amp; FA'!G32</f>
        <v>194941</v>
      </c>
      <c r="M14" s="34">
        <f>'Production &amp; FA'!H32</f>
        <v>700000</v>
      </c>
      <c r="N14" s="34">
        <f>'Production &amp; FA'!I32</f>
        <v>700000</v>
      </c>
      <c r="O14" s="34">
        <f>'Production &amp; FA'!J32</f>
        <v>0</v>
      </c>
      <c r="P14" s="34">
        <f>'Production &amp; FA'!K32</f>
        <v>886</v>
      </c>
      <c r="Q14" s="34">
        <f>'Production &amp; FA'!L32</f>
        <v>931</v>
      </c>
      <c r="R14" s="34">
        <f>'Production &amp; FA'!M32</f>
        <v>1000</v>
      </c>
      <c r="S14" s="34">
        <f>'Production &amp; FA'!N32</f>
        <v>0</v>
      </c>
      <c r="T14" s="34">
        <f>'Production &amp; FA'!O32</f>
        <v>565.91000000000008</v>
      </c>
      <c r="U14" s="53">
        <f>'Production &amp; FA'!P32</f>
        <v>0.36139369440133856</v>
      </c>
      <c r="V14" s="34">
        <f>'Production &amp; FA'!Q32</f>
        <v>396137000.00000006</v>
      </c>
      <c r="W14" s="54">
        <f>'Production &amp; FA'!R32</f>
        <v>1.852111589044156</v>
      </c>
      <c r="X14" s="54">
        <f>'Production &amp; FA'!S32</f>
        <v>12.7</v>
      </c>
      <c r="Y14" s="34">
        <f>'Production &amp; FA'!T32</f>
        <v>0</v>
      </c>
      <c r="Z14" s="34">
        <f>'Production &amp; FA'!U32</f>
        <v>0</v>
      </c>
      <c r="AA14" s="34">
        <f>'Production &amp; FA'!V32</f>
        <v>396137000.00000006</v>
      </c>
      <c r="AB14" s="54">
        <f>'Production &amp; FA'!W32</f>
        <v>5.6962010617538876</v>
      </c>
      <c r="AC14" s="34">
        <f>'Production &amp; FA'!X32</f>
        <v>-18.163636363636364</v>
      </c>
      <c r="AD14" s="54">
        <f>'Production &amp; FA'!Y32</f>
        <v>-0.55000000000000004</v>
      </c>
      <c r="AE14" s="34">
        <f>'Production &amp; FA'!Z32</f>
        <v>-19.18181818181818</v>
      </c>
      <c r="AF14" s="53">
        <f>'Production &amp; FA'!AA32</f>
        <v>17.779800000000002</v>
      </c>
      <c r="AG14" s="53">
        <f>'Production &amp; FA'!AB32</f>
        <v>-3.0800000000000001E-2</v>
      </c>
      <c r="AH14" s="53">
        <f>'Production &amp; FA'!AC32</f>
        <v>-5.2200000000000003E-2</v>
      </c>
      <c r="AI14" s="53">
        <f>'Production &amp; FA'!AD32</f>
        <v>-0.10199999999999999</v>
      </c>
      <c r="AJ14" s="54">
        <f>'Production &amp; FA'!AE32</f>
        <v>1.1268391410140763</v>
      </c>
      <c r="AK14" s="54">
        <f>'Production &amp; FA'!AF32</f>
        <v>0.5132994246643876</v>
      </c>
      <c r="AL14" s="54">
        <f>'Production &amp; FA'!AG32</f>
        <v>1.0824494676957963</v>
      </c>
      <c r="AM14" s="54">
        <f>'Production &amp; FA'!AH32</f>
        <v>0.51979627092392922</v>
      </c>
      <c r="AN14" s="83">
        <v>70</v>
      </c>
    </row>
    <row r="15" spans="1:40" x14ac:dyDescent="0.25">
      <c r="A15" t="e" vm="49">
        <f>'Production &amp; FA'!B36</f>
        <v>#VALUE!</v>
      </c>
      <c r="B15" t="s">
        <v>99</v>
      </c>
      <c r="C15">
        <f>'Production &amp; FA'!C36</f>
        <v>1.06</v>
      </c>
      <c r="D15" s="50">
        <f>'Production &amp; FA'!D36</f>
        <v>673.53470000000004</v>
      </c>
      <c r="E15" s="50">
        <f>'Production &amp; FA'!E36</f>
        <v>635410094.33962262</v>
      </c>
      <c r="F15" s="51">
        <f t="shared" si="0"/>
        <v>0.06</v>
      </c>
      <c r="G15" s="17">
        <f t="shared" si="1"/>
        <v>0.06</v>
      </c>
      <c r="H15" s="52">
        <f t="shared" si="2"/>
        <v>5015125</v>
      </c>
      <c r="I15" s="51">
        <f t="shared" si="3"/>
        <v>2.0299999999999998</v>
      </c>
      <c r="J15" s="51">
        <f t="shared" si="4"/>
        <v>0.55000000000000004</v>
      </c>
      <c r="K15" s="34">
        <f>'Production &amp; FA'!F36</f>
        <v>522603</v>
      </c>
      <c r="L15" s="34">
        <f>'Production &amp; FA'!G36</f>
        <v>486141</v>
      </c>
      <c r="M15" s="34">
        <f>'Production &amp; FA'!H36</f>
        <v>326500</v>
      </c>
      <c r="N15" s="34">
        <f>'Production &amp; FA'!I36</f>
        <v>326500</v>
      </c>
      <c r="O15" s="34">
        <f>'Production &amp; FA'!J36</f>
        <v>0</v>
      </c>
      <c r="P15" s="34">
        <f>'Production &amp; FA'!K36</f>
        <v>1099</v>
      </c>
      <c r="Q15" s="34">
        <f>'Production &amp; FA'!L36</f>
        <v>1310</v>
      </c>
      <c r="R15" s="34">
        <f>'Production &amp; FA'!M36</f>
        <v>1300</v>
      </c>
      <c r="S15" s="34">
        <f>'Production &amp; FA'!N36</f>
        <v>0</v>
      </c>
      <c r="T15" s="34">
        <f>'Production &amp; FA'!O36</f>
        <v>265.91000000000008</v>
      </c>
      <c r="U15" s="53">
        <f>'Production &amp; FA'!P36</f>
        <v>0.16981180272174012</v>
      </c>
      <c r="V15" s="34">
        <f>'Production &amp; FA'!Q36</f>
        <v>86819615.00000003</v>
      </c>
      <c r="W15" s="54">
        <f>'Production &amp; FA'!R36</f>
        <v>0.13663556146401964</v>
      </c>
      <c r="X15" s="54">
        <f>'Production &amp; FA'!S36</f>
        <v>11.811</v>
      </c>
      <c r="Y15" s="34">
        <f>'Production &amp; FA'!T36</f>
        <v>0</v>
      </c>
      <c r="Z15" s="34">
        <f>'Production &amp; FA'!U36</f>
        <v>0</v>
      </c>
      <c r="AA15" s="34">
        <f>'Production &amp; FA'!V36</f>
        <v>86819615.00000003</v>
      </c>
      <c r="AB15" s="54">
        <f>'Production &amp; FA'!W36</f>
        <v>7.7578632432313803</v>
      </c>
      <c r="AC15" s="34">
        <f>'Production &amp; FA'!X36</f>
        <v>-9.5833333333333321</v>
      </c>
      <c r="AD15" s="54">
        <f>'Production &amp; FA'!Y36</f>
        <v>-0.12</v>
      </c>
      <c r="AE15" s="34">
        <f>'Production &amp; FA'!Z36</f>
        <v>-8.8333333333333339</v>
      </c>
      <c r="AF15" s="53">
        <f>'Production &amp; FA'!AA36</f>
        <v>0.62233084641111402</v>
      </c>
      <c r="AG15" s="53">
        <f>'Production &amp; FA'!AB36</f>
        <v>-3.4000000000000002E-2</v>
      </c>
      <c r="AH15" s="53">
        <f>'Production &amp; FA'!AC36</f>
        <v>-7.6499999999999999E-2</v>
      </c>
      <c r="AI15" s="53">
        <f>'Production &amp; FA'!AD36</f>
        <v>-0.1166</v>
      </c>
      <c r="AJ15" s="54">
        <f>'Production &amp; FA'!AE36</f>
        <v>1.3313953488372092</v>
      </c>
      <c r="AK15" s="54">
        <f>'Production &amp; FA'!AF36</f>
        <v>0.48255813953488375</v>
      </c>
      <c r="AL15" s="54">
        <f>'Production &amp; FA'!AG36</f>
        <v>1.2455775234131112</v>
      </c>
      <c r="AM15" s="54">
        <f>'Production &amp; FA'!AH36</f>
        <v>0.55442334414080596</v>
      </c>
      <c r="AN15" s="83">
        <v>78.540656326695853</v>
      </c>
    </row>
    <row r="16" spans="1:40" x14ac:dyDescent="0.25">
      <c r="A16" t="e" vm="5">
        <f>'Production &amp; FA'!B12</f>
        <v>#VALUE!</v>
      </c>
      <c r="B16" t="s">
        <v>97</v>
      </c>
      <c r="C16">
        <f>'Production &amp; FA'!C12</f>
        <v>9.77</v>
      </c>
      <c r="D16" s="50">
        <f>'Production &amp; FA'!D12</f>
        <v>2859.0729999999999</v>
      </c>
      <c r="E16" s="50">
        <f>'Production &amp; FA'!E12</f>
        <v>292637973.38792223</v>
      </c>
      <c r="F16" s="51">
        <f t="shared" si="0"/>
        <v>0</v>
      </c>
      <c r="G16" s="17">
        <f t="shared" si="1"/>
        <v>0</v>
      </c>
      <c r="H16" s="52">
        <f t="shared" si="2"/>
        <v>1473443</v>
      </c>
      <c r="I16" s="51">
        <f t="shared" si="3"/>
        <v>13</v>
      </c>
      <c r="J16" s="51">
        <f t="shared" si="4"/>
        <v>5.52</v>
      </c>
      <c r="K16" s="34">
        <f>'Production &amp; FA'!F12</f>
        <v>730000</v>
      </c>
      <c r="L16" s="34">
        <f>'Production &amp; FA'!G12</f>
        <v>783000</v>
      </c>
      <c r="M16" s="34">
        <f>'Production &amp; FA'!H12</f>
        <v>805000</v>
      </c>
      <c r="N16" s="34">
        <f>'Production &amp; FA'!I12</f>
        <v>805000</v>
      </c>
      <c r="O16" s="34">
        <f>'Production &amp; FA'!J12</f>
        <v>0</v>
      </c>
      <c r="P16" s="34">
        <f>'Production &amp; FA'!K12</f>
        <v>754</v>
      </c>
      <c r="Q16" s="34">
        <f>'Production &amp; FA'!L12</f>
        <v>713</v>
      </c>
      <c r="R16" s="34">
        <f>'Production &amp; FA'!M12</f>
        <v>845</v>
      </c>
      <c r="S16" s="34">
        <f>'Production &amp; FA'!N12</f>
        <v>0</v>
      </c>
      <c r="T16" s="34">
        <f>'Production &amp; FA'!O12</f>
        <v>720.91000000000008</v>
      </c>
      <c r="U16" s="53">
        <f>'Production &amp; FA'!P12</f>
        <v>0.37290591413299617</v>
      </c>
      <c r="V16" s="34">
        <f>'Production &amp; FA'!Q12</f>
        <v>580332550.00000012</v>
      </c>
      <c r="W16" s="54">
        <f>'Production &amp; FA'!R12</f>
        <v>1.9831074664760224</v>
      </c>
      <c r="X16" s="54">
        <f>'Production &amp; FA'!S12</f>
        <v>11.086</v>
      </c>
      <c r="Y16" s="34">
        <f>'Production &amp; FA'!T12</f>
        <v>85000000</v>
      </c>
      <c r="Z16" s="34">
        <f>'Production &amp; FA'!U12</f>
        <v>9976875</v>
      </c>
      <c r="AA16" s="34">
        <f>'Production &amp; FA'!V12</f>
        <v>590309425.00000012</v>
      </c>
      <c r="AB16" s="54">
        <f>'Production &amp; FA'!W12</f>
        <v>4.9266114747484</v>
      </c>
      <c r="AC16" s="34">
        <f>'Production &amp; FA'!X12</f>
        <v>20.81</v>
      </c>
      <c r="AD16" s="54">
        <f>'Production &amp; FA'!Y12</f>
        <v>-0.32</v>
      </c>
      <c r="AE16" s="34">
        <f>'Production &amp; FA'!Z12</f>
        <v>17.22</v>
      </c>
      <c r="AF16" s="53">
        <f>'Production &amp; FA'!AA12</f>
        <v>8.3333333333333412E-2</v>
      </c>
      <c r="AG16" s="53">
        <f>'Production &amp; FA'!AB12</f>
        <v>-3.3799999999999997E-2</v>
      </c>
      <c r="AH16" s="53">
        <f>'Production &amp; FA'!AC12</f>
        <v>-4.4400000000000002E-2</v>
      </c>
      <c r="AI16" s="53">
        <f>'Production &amp; FA'!AD12</f>
        <v>-6.8000000000000005E-2</v>
      </c>
      <c r="AJ16" s="54">
        <f>'Production &amp; FA'!AE12</f>
        <v>3.8081632653061224</v>
      </c>
      <c r="AK16" s="54">
        <f>'Production &amp; FA'!AF12</f>
        <v>0.17551020408163265</v>
      </c>
      <c r="AL16" s="54">
        <f>'Production &amp; FA'!AG12</f>
        <v>0.30784123910939015</v>
      </c>
      <c r="AM16" s="54">
        <f>'Production &amp; FA'!AH12</f>
        <v>0.23538119911176905</v>
      </c>
      <c r="AN16" s="83">
        <v>67.902739726027406</v>
      </c>
    </row>
    <row r="17" spans="1:40" hidden="1" x14ac:dyDescent="0.25">
      <c r="A17" t="e" vm="50">
        <f>'Production &amp; FA'!B24</f>
        <v>#VALUE!</v>
      </c>
      <c r="B17" t="s">
        <v>98</v>
      </c>
      <c r="C17">
        <f>'Production &amp; FA'!C24</f>
        <v>10.210000000000001</v>
      </c>
      <c r="D17" s="50">
        <f>'Production &amp; FA'!D24</f>
        <v>2138.19</v>
      </c>
      <c r="E17" s="50">
        <f>'Production &amp; FA'!E24</f>
        <v>209421155.72967678</v>
      </c>
      <c r="F17" s="51">
        <f t="shared" si="0"/>
        <v>0.68</v>
      </c>
      <c r="G17" s="17">
        <f t="shared" si="1"/>
        <v>7.1354000000000001E-2</v>
      </c>
      <c r="H17" s="52">
        <f t="shared" si="2"/>
        <v>683381</v>
      </c>
      <c r="I17" s="51">
        <f t="shared" si="3"/>
        <v>13.49</v>
      </c>
      <c r="J17" s="51">
        <f t="shared" si="4"/>
        <v>5.0199999999999996</v>
      </c>
      <c r="K17" s="34">
        <f>'Production &amp; FA'!F24</f>
        <v>0</v>
      </c>
      <c r="L17" s="34">
        <f>'Production &amp; FA'!G24</f>
        <v>28678</v>
      </c>
      <c r="M17" s="34">
        <f>'Production &amp; FA'!H24</f>
        <v>280000</v>
      </c>
      <c r="N17" s="34">
        <f>'Production &amp; FA'!I24</f>
        <v>280000</v>
      </c>
      <c r="O17" s="34">
        <f>'Production &amp; FA'!J24</f>
        <v>0</v>
      </c>
      <c r="P17" s="34">
        <f>'Production &amp; FA'!K24</f>
        <v>0</v>
      </c>
      <c r="Q17" s="34">
        <f>'Production &amp; FA'!L24</f>
        <v>621</v>
      </c>
      <c r="R17" s="34">
        <f>'Production &amp; FA'!M24</f>
        <v>621</v>
      </c>
      <c r="S17" s="34">
        <f>'Production &amp; FA'!N24</f>
        <v>0</v>
      </c>
      <c r="T17" s="34">
        <f>'Production &amp; FA'!O24</f>
        <v>944.91000000000008</v>
      </c>
      <c r="U17" s="53">
        <f>'Production &amp; FA'!P24</f>
        <v>0.48877464222081735</v>
      </c>
      <c r="V17" s="34">
        <f>'Production &amp; FA'!Q24</f>
        <v>264574800.00000003</v>
      </c>
      <c r="W17" s="54">
        <f>'Production &amp; FA'!R24</f>
        <v>1.2633623335624993</v>
      </c>
      <c r="X17" s="54">
        <f>'Production &amp; FA'!S24</f>
        <v>4.8159999999999998</v>
      </c>
      <c r="Y17" s="34">
        <f>'Production &amp; FA'!T24</f>
        <v>0</v>
      </c>
      <c r="Z17" s="34">
        <f>'Production &amp; FA'!U24</f>
        <v>0</v>
      </c>
      <c r="AA17" s="34">
        <f>'Production &amp; FA'!V24</f>
        <v>264574800.00000003</v>
      </c>
      <c r="AB17" s="54">
        <f>'Production &amp; FA'!W24</f>
        <v>8.0816086792846473</v>
      </c>
      <c r="AC17" s="34">
        <f>'Production &amp; FA'!X24</f>
        <v>0</v>
      </c>
      <c r="AD17" s="54">
        <f>'Production &amp; FA'!Y24</f>
        <v>0</v>
      </c>
      <c r="AE17" s="34">
        <f>'Production &amp; FA'!Z24</f>
        <v>0</v>
      </c>
      <c r="AF17" s="53">
        <f>'Production &amp; FA'!AA24</f>
        <v>0</v>
      </c>
      <c r="AG17" s="53">
        <f>'Production &amp; FA'!AB24</f>
        <v>0</v>
      </c>
      <c r="AH17" s="53">
        <f>'Production &amp; FA'!AC24</f>
        <v>0</v>
      </c>
      <c r="AI17" s="53">
        <f>'Production &amp; FA'!AD24</f>
        <v>0</v>
      </c>
      <c r="AJ17" s="54">
        <f>'Production &amp; FA'!AE24</f>
        <v>1.2844827586206897</v>
      </c>
      <c r="AK17" s="54">
        <f>'Production &amp; FA'!AF24</f>
        <v>0.65517241379310343</v>
      </c>
      <c r="AL17" s="54">
        <f>'Production &amp; FA'!AG24</f>
        <v>2.0171306209850108</v>
      </c>
      <c r="AM17" s="54">
        <f>'Production &amp; FA'!AH24</f>
        <v>0.66855926188786374</v>
      </c>
      <c r="AN17" s="83">
        <v>61.54</v>
      </c>
    </row>
    <row r="18" spans="1:40" hidden="1" x14ac:dyDescent="0.25">
      <c r="A18" t="e" vm="4">
        <f>'Production &amp; FA'!B25</f>
        <v>#VALUE!</v>
      </c>
      <c r="B18" t="s">
        <v>98</v>
      </c>
      <c r="C18">
        <f>'Production &amp; FA'!C25</f>
        <v>21.53</v>
      </c>
      <c r="D18" s="50">
        <f>'Production &amp; FA'!D25</f>
        <v>1932.4259999999999</v>
      </c>
      <c r="E18" s="50">
        <f>'Production &amp; FA'!E25</f>
        <v>89755039.479795635</v>
      </c>
      <c r="F18" s="51">
        <f t="shared" si="0"/>
        <v>-0.42</v>
      </c>
      <c r="G18" s="17">
        <f t="shared" si="1"/>
        <v>-1.9133999999999998E-2</v>
      </c>
      <c r="H18" s="52">
        <f t="shared" si="2"/>
        <v>680140</v>
      </c>
      <c r="I18" s="51">
        <f t="shared" si="3"/>
        <v>25.57</v>
      </c>
      <c r="J18" s="51">
        <f t="shared" si="4"/>
        <v>12.12</v>
      </c>
      <c r="K18" s="34">
        <f>'Production &amp; FA'!F25</f>
        <v>347090</v>
      </c>
      <c r="L18" s="34">
        <f>'Production &amp; FA'!G25</f>
        <v>421828</v>
      </c>
      <c r="M18" s="34">
        <f>'Production &amp; FA'!H25</f>
        <v>425000</v>
      </c>
      <c r="N18" s="34">
        <f>'Production &amp; FA'!I25</f>
        <v>425000</v>
      </c>
      <c r="O18" s="34">
        <f>'Production &amp; FA'!J25</f>
        <v>0</v>
      </c>
      <c r="P18" s="34">
        <f>'Production &amp; FA'!K25</f>
        <v>1088</v>
      </c>
      <c r="Q18" s="34">
        <f>'Production &amp; FA'!L25</f>
        <v>1087</v>
      </c>
      <c r="R18" s="34">
        <f>'Production &amp; FA'!M25</f>
        <v>1087</v>
      </c>
      <c r="S18" s="34">
        <f>'Production &amp; FA'!N25</f>
        <v>0</v>
      </c>
      <c r="T18" s="34">
        <f>'Production &amp; FA'!O25</f>
        <v>478.91000000000008</v>
      </c>
      <c r="U18" s="53">
        <f>'Production &amp; FA'!P25</f>
        <v>0.24772630610954657</v>
      </c>
      <c r="V18" s="34">
        <f>'Production &amp; FA'!Q25</f>
        <v>203536750.00000003</v>
      </c>
      <c r="W18" s="54">
        <f>'Production &amp; FA'!R25</f>
        <v>2.2676916101832623</v>
      </c>
      <c r="X18" s="54">
        <f>'Production &amp; FA'!S25</f>
        <v>5.3760000000000003</v>
      </c>
      <c r="Y18" s="34">
        <f>'Production &amp; FA'!T25</f>
        <v>0</v>
      </c>
      <c r="Z18" s="34">
        <f>'Production &amp; FA'!U25</f>
        <v>0</v>
      </c>
      <c r="AA18" s="34">
        <f>'Production &amp; FA'!V25</f>
        <v>203536750.00000003</v>
      </c>
      <c r="AB18" s="54">
        <f>'Production &amp; FA'!W25</f>
        <v>9.4942362988502058</v>
      </c>
      <c r="AC18" s="34">
        <f>'Production &amp; FA'!X25</f>
        <v>68.319999999999993</v>
      </c>
      <c r="AD18" s="54">
        <f>'Production &amp; FA'!Y25</f>
        <v>0.47</v>
      </c>
      <c r="AE18" s="34">
        <f>'Production &amp; FA'!Z25</f>
        <v>45.808510638297875</v>
      </c>
      <c r="AF18" s="53">
        <f>'Production &amp; FA'!AA25</f>
        <v>0.35225171023018481</v>
      </c>
      <c r="AG18" s="53">
        <f>'Production &amp; FA'!AB25</f>
        <v>3.5000000000000003E-2</v>
      </c>
      <c r="AH18" s="53">
        <f>'Production &amp; FA'!AC25</f>
        <v>5.4399999999999997E-2</v>
      </c>
      <c r="AI18" s="53">
        <f>'Production &amp; FA'!AD25</f>
        <v>9.4399999999999998E-2</v>
      </c>
      <c r="AJ18" s="54">
        <f>'Production &amp; FA'!AE25</f>
        <v>3.8461538461538463</v>
      </c>
      <c r="AK18" s="54">
        <f>'Production &amp; FA'!AF25</f>
        <v>2.1538461538461537</v>
      </c>
      <c r="AL18" s="54">
        <f>'Production &amp; FA'!AG25</f>
        <v>0.54320987654320985</v>
      </c>
      <c r="AM18" s="54">
        <f>'Production &amp; FA'!AH25</f>
        <v>0.35199999999999998</v>
      </c>
      <c r="AN18" s="83">
        <v>73.572779317647061</v>
      </c>
    </row>
    <row r="19" spans="1:40" hidden="1" x14ac:dyDescent="0.25">
      <c r="A19" t="e" vm="44">
        <f>'Production &amp; FA'!B26</f>
        <v>#VALUE!</v>
      </c>
      <c r="B19" t="s">
        <v>98</v>
      </c>
      <c r="C19">
        <f>'Production &amp; FA'!C26</f>
        <v>3.55</v>
      </c>
      <c r="D19" s="50">
        <f>'Production &amp; FA'!D26</f>
        <v>1179.777</v>
      </c>
      <c r="E19" s="50">
        <f>'Production &amp; FA'!E26</f>
        <v>332331549.29577464</v>
      </c>
      <c r="F19" s="51">
        <f t="shared" si="0"/>
        <v>0.01</v>
      </c>
      <c r="G19" s="17">
        <f t="shared" si="1"/>
        <v>2.8249999999999998E-3</v>
      </c>
      <c r="H19" s="52">
        <f t="shared" si="2"/>
        <v>3155032</v>
      </c>
      <c r="I19" s="51">
        <f t="shared" si="3"/>
        <v>5.75</v>
      </c>
      <c r="J19" s="51">
        <f t="shared" si="4"/>
        <v>1.57</v>
      </c>
      <c r="K19" s="34">
        <f>'Production &amp; FA'!F26</f>
        <v>244600</v>
      </c>
      <c r="L19" s="34">
        <f>'Production &amp; FA'!G26</f>
        <v>340900</v>
      </c>
      <c r="M19" s="34">
        <f>'Production &amp; FA'!H26</f>
        <v>335000</v>
      </c>
      <c r="N19" s="34">
        <f>'Production &amp; FA'!I26</f>
        <v>335000</v>
      </c>
      <c r="O19" s="34">
        <f>'Production &amp; FA'!J26</f>
        <v>0</v>
      </c>
      <c r="P19" s="34">
        <f>'Production &amp; FA'!K26</f>
        <v>951</v>
      </c>
      <c r="Q19" s="34">
        <f>'Production &amp; FA'!L26</f>
        <v>724</v>
      </c>
      <c r="R19" s="34">
        <f>'Production &amp; FA'!M26</f>
        <v>927.5</v>
      </c>
      <c r="S19" s="34">
        <f>'Production &amp; FA'!N26</f>
        <v>0</v>
      </c>
      <c r="T19" s="34">
        <f>'Production &amp; FA'!O26</f>
        <v>638.41000000000008</v>
      </c>
      <c r="U19" s="53">
        <f>'Production &amp; FA'!P26</f>
        <v>0.33023104776136564</v>
      </c>
      <c r="V19" s="34">
        <f>'Production &amp; FA'!Q26</f>
        <v>213867350.00000003</v>
      </c>
      <c r="W19" s="54">
        <f>'Production &amp; FA'!R26</f>
        <v>0.64353610258548877</v>
      </c>
      <c r="X19" s="54">
        <f>'Production &amp; FA'!S26</f>
        <v>25.341000000000001</v>
      </c>
      <c r="Y19" s="34">
        <f>'Production &amp; FA'!T26</f>
        <v>0</v>
      </c>
      <c r="Z19" s="34">
        <f>'Production &amp; FA'!U26</f>
        <v>0</v>
      </c>
      <c r="AA19" s="34">
        <f>'Production &amp; FA'!V26</f>
        <v>213867350.00000003</v>
      </c>
      <c r="AB19" s="54">
        <f>'Production &amp; FA'!W26</f>
        <v>5.5163960277246602</v>
      </c>
      <c r="AC19" s="34">
        <f>'Production &amp; FA'!X26</f>
        <v>13.78</v>
      </c>
      <c r="AD19" s="54">
        <f>'Production &amp; FA'!Y26</f>
        <v>0.15</v>
      </c>
      <c r="AE19" s="34">
        <f>'Production &amp; FA'!Z26</f>
        <v>23.666666666666668</v>
      </c>
      <c r="AF19" s="53">
        <f>'Production &amp; FA'!AA26</f>
        <v>0.83694351133248379</v>
      </c>
      <c r="AG19" s="53">
        <f>'Production &amp; FA'!AB26</f>
        <v>4.6800000000000001E-2</v>
      </c>
      <c r="AH19" s="53">
        <f>'Production &amp; FA'!AC26</f>
        <v>6.6100000000000006E-2</v>
      </c>
      <c r="AI19" s="53">
        <f>'Production &amp; FA'!AD26</f>
        <v>0.1055</v>
      </c>
      <c r="AJ19" s="54">
        <f>'Production &amp; FA'!AE26</f>
        <v>1.7191780821917808</v>
      </c>
      <c r="AK19" s="54">
        <f>'Production &amp; FA'!AF26</f>
        <v>0.67123287671232879</v>
      </c>
      <c r="AL19" s="54">
        <f>'Production &amp; FA'!AG26</f>
        <v>0.39097744360902253</v>
      </c>
      <c r="AM19" s="54">
        <f>'Production &amp; FA'!AH26</f>
        <v>0.2810810810810811</v>
      </c>
      <c r="AN19" s="83">
        <v>63.253588516746404</v>
      </c>
    </row>
    <row r="20" spans="1:40" hidden="1" x14ac:dyDescent="0.25">
      <c r="A20" t="e" vm="47">
        <f>'Production &amp; FA'!B27</f>
        <v>#VALUE!</v>
      </c>
      <c r="B20" t="s">
        <v>98</v>
      </c>
      <c r="C20">
        <f>'Production &amp; FA'!C27</f>
        <v>16.11</v>
      </c>
      <c r="D20" s="50">
        <f>'Production &amp; FA'!D27</f>
        <v>1291.5509999999999</v>
      </c>
      <c r="E20" s="50">
        <f>'Production &amp; FA'!E27</f>
        <v>80170763.500931099</v>
      </c>
      <c r="F20" s="51">
        <f t="shared" si="0"/>
        <v>0.93</v>
      </c>
      <c r="G20" s="17">
        <f t="shared" si="1"/>
        <v>6.1265E-2</v>
      </c>
      <c r="H20" s="52">
        <f t="shared" si="2"/>
        <v>715455</v>
      </c>
      <c r="I20" s="51">
        <f t="shared" si="3"/>
        <v>22.45</v>
      </c>
      <c r="J20" s="51">
        <f t="shared" si="4"/>
        <v>8.7899999999999991</v>
      </c>
      <c r="K20" s="34">
        <f>'Production &amp; FA'!F27</f>
        <v>347640</v>
      </c>
      <c r="L20" s="34">
        <f>'Production &amp; FA'!G27</f>
        <v>454811</v>
      </c>
      <c r="M20" s="34">
        <f>'Production &amp; FA'!H27</f>
        <v>450000</v>
      </c>
      <c r="N20" s="34">
        <f>'Production &amp; FA'!I27</f>
        <v>450000</v>
      </c>
      <c r="O20" s="34">
        <f>'Production &amp; FA'!J27</f>
        <v>0</v>
      </c>
      <c r="P20" s="34">
        <f>'Production &amp; FA'!K27</f>
        <v>964</v>
      </c>
      <c r="Q20" s="34">
        <f>'Production &amp; FA'!L27</f>
        <v>805</v>
      </c>
      <c r="R20" s="34">
        <f>'Production &amp; FA'!M27</f>
        <v>930</v>
      </c>
      <c r="S20" s="34">
        <f>'Production &amp; FA'!N27</f>
        <v>0</v>
      </c>
      <c r="T20" s="34">
        <f>'Production &amp; FA'!O27</f>
        <v>635.91000000000008</v>
      </c>
      <c r="U20" s="53">
        <f>'Production &amp; FA'!P27</f>
        <v>0.32893786999252833</v>
      </c>
      <c r="V20" s="34">
        <f>'Production &amp; FA'!Q27</f>
        <v>286159500.00000006</v>
      </c>
      <c r="W20" s="54">
        <f>'Production &amp; FA'!R27</f>
        <v>3.5693747633659072</v>
      </c>
      <c r="X20" s="54">
        <f>'Production &amp; FA'!S27</f>
        <v>2.2400000000000002</v>
      </c>
      <c r="Y20" s="34">
        <f>'Production &amp; FA'!T27</f>
        <v>0</v>
      </c>
      <c r="Z20" s="34">
        <f>'Production &amp; FA'!U27</f>
        <v>0</v>
      </c>
      <c r="AA20" s="34">
        <f>'Production &amp; FA'!V27</f>
        <v>286159500.00000006</v>
      </c>
      <c r="AB20" s="54">
        <f>'Production &amp; FA'!W27</f>
        <v>4.5133955014598488</v>
      </c>
      <c r="AC20" s="34">
        <f>'Production &amp; FA'!X27</f>
        <v>36.53</v>
      </c>
      <c r="AD20" s="54">
        <f>'Production &amp; FA'!Y27</f>
        <v>0.84</v>
      </c>
      <c r="AE20" s="34">
        <f>'Production &amp; FA'!Z27</f>
        <v>19.178571428571427</v>
      </c>
      <c r="AF20" s="53">
        <f>'Production &amp; FA'!AA27</f>
        <v>1.0349317243569387</v>
      </c>
      <c r="AG20" s="53">
        <f>'Production &amp; FA'!AB27</f>
        <v>5.6899999999999999E-2</v>
      </c>
      <c r="AH20" s="53">
        <f>'Production &amp; FA'!AC27</f>
        <v>8.9300000000000004E-2</v>
      </c>
      <c r="AI20" s="53">
        <f>'Production &amp; FA'!AD27</f>
        <v>0.1111</v>
      </c>
      <c r="AJ20" s="54">
        <f>'Production &amp; FA'!AE27</f>
        <v>1.3950617283950617</v>
      </c>
      <c r="AK20" s="54">
        <f>'Production &amp; FA'!AF27</f>
        <v>0.66666666666666663</v>
      </c>
      <c r="AL20" s="54">
        <f>'Production &amp; FA'!AG27</f>
        <v>0.47305389221556887</v>
      </c>
      <c r="AM20" s="54">
        <f>'Production &amp; FA'!AH27</f>
        <v>0.32113821138211385</v>
      </c>
      <c r="AN20" s="83">
        <v>67.239999999999995</v>
      </c>
    </row>
    <row r="21" spans="1:40" hidden="1" x14ac:dyDescent="0.25">
      <c r="A21" t="e" vm="53">
        <f>'Production &amp; FA'!B31</f>
        <v>#VALUE!</v>
      </c>
      <c r="B21" t="s">
        <v>99</v>
      </c>
      <c r="C21">
        <f>'Production &amp; FA'!C31</f>
        <v>5.99</v>
      </c>
      <c r="D21" s="50">
        <f>'Production &amp; FA'!D31</f>
        <v>1104.8869999999999</v>
      </c>
      <c r="E21" s="50">
        <f>'Production &amp; FA'!E31</f>
        <v>184455258.76460767</v>
      </c>
      <c r="F21" s="51">
        <f t="shared" si="0"/>
        <v>-0.13</v>
      </c>
      <c r="G21" s="17">
        <f t="shared" si="1"/>
        <v>-2.1242E-2</v>
      </c>
      <c r="H21" s="52">
        <f t="shared" si="2"/>
        <v>907266</v>
      </c>
      <c r="I21" s="51">
        <f t="shared" si="3"/>
        <v>6.66</v>
      </c>
      <c r="J21" s="51">
        <f t="shared" si="4"/>
        <v>3.2</v>
      </c>
      <c r="K21" s="34">
        <f>'Production &amp; FA'!F31</f>
        <v>201000</v>
      </c>
      <c r="L21" s="34">
        <f>'Production &amp; FA'!G31</f>
        <v>231000</v>
      </c>
      <c r="M21" s="34">
        <f>'Production &amp; FA'!H31</f>
        <v>274000</v>
      </c>
      <c r="N21" s="34">
        <f>'Production &amp; FA'!I31</f>
        <v>274000</v>
      </c>
      <c r="O21" s="34">
        <f>'Production &amp; FA'!J31</f>
        <v>0</v>
      </c>
      <c r="P21" s="34">
        <f>'Production &amp; FA'!K31</f>
        <v>659</v>
      </c>
      <c r="Q21" s="34">
        <f>'Production &amp; FA'!L31</f>
        <v>725</v>
      </c>
      <c r="R21" s="34">
        <f>'Production &amp; FA'!M31</f>
        <v>720</v>
      </c>
      <c r="S21" s="34">
        <f>'Production &amp; FA'!N31</f>
        <v>0</v>
      </c>
      <c r="T21" s="34">
        <f>'Production &amp; FA'!O31</f>
        <v>845.91000000000008</v>
      </c>
      <c r="U21" s="53">
        <f>'Production &amp; FA'!P31</f>
        <v>0.5402034599689638</v>
      </c>
      <c r="V21" s="34">
        <f>'Production &amp; FA'!Q31</f>
        <v>231779340.00000003</v>
      </c>
      <c r="W21" s="54">
        <f>'Production &amp; FA'!R31</f>
        <v>1.2565613013819514</v>
      </c>
      <c r="X21" s="54">
        <f>'Production &amp; FA'!S31</f>
        <v>2.5819999999999999</v>
      </c>
      <c r="Y21" s="34">
        <f>'Production &amp; FA'!T31</f>
        <v>0</v>
      </c>
      <c r="Z21" s="34">
        <f>'Production &amp; FA'!U31</f>
        <v>0</v>
      </c>
      <c r="AA21" s="34">
        <f>'Production &amp; FA'!V31</f>
        <v>231779340.00000003</v>
      </c>
      <c r="AB21" s="54">
        <f>'Production &amp; FA'!W31</f>
        <v>4.7669779368601182</v>
      </c>
      <c r="AC21" s="34">
        <f>'Production &amp; FA'!X31</f>
        <v>38.83</v>
      </c>
      <c r="AD21" s="54">
        <f>'Production &amp; FA'!Y31</f>
        <v>0.21</v>
      </c>
      <c r="AE21" s="34">
        <f>'Production &amp; FA'!Z31</f>
        <v>28.523809523809526</v>
      </c>
      <c r="AF21" s="53">
        <f>'Production &amp; FA'!AA31</f>
        <v>0.34927904397295073</v>
      </c>
      <c r="AG21" s="53">
        <f>'Production &amp; FA'!AB31</f>
        <v>2.29E-2</v>
      </c>
      <c r="AH21" s="53">
        <f>'Production &amp; FA'!AC31</f>
        <v>3.1199999999999999E-2</v>
      </c>
      <c r="AI21" s="53">
        <f>'Production &amp; FA'!AD31</f>
        <v>5.6000000000000001E-2</v>
      </c>
      <c r="AJ21" s="54">
        <f>'Production &amp; FA'!AE31</f>
        <v>0.90322580645161288</v>
      </c>
      <c r="AK21" s="54">
        <f>'Production &amp; FA'!AF31</f>
        <v>0.18279569892473119</v>
      </c>
      <c r="AL21" s="54">
        <f>'Production &amp; FA'!AG31</f>
        <v>0.36075949367088606</v>
      </c>
      <c r="AM21" s="54">
        <f>'Production &amp; FA'!AH31</f>
        <v>0.26511627906976742</v>
      </c>
      <c r="AN21" s="83">
        <v>58.340756756756761</v>
      </c>
    </row>
    <row r="22" spans="1:40" x14ac:dyDescent="0.25">
      <c r="A22" t="e" vm="1">
        <f>'Production &amp; FA'!B21</f>
        <v>#VALUE!</v>
      </c>
      <c r="B22" t="s">
        <v>98</v>
      </c>
      <c r="C22">
        <f>'Production &amp; FA'!C21</f>
        <v>2.61</v>
      </c>
      <c r="D22" s="50">
        <f>'Production &amp; FA'!D21</f>
        <v>1583.9780000000001</v>
      </c>
      <c r="E22" s="50">
        <f>'Production &amp; FA'!E21</f>
        <v>606888122.60536397</v>
      </c>
      <c r="F22" s="51">
        <f t="shared" si="0"/>
        <v>0.01</v>
      </c>
      <c r="G22" s="17">
        <f t="shared" si="1"/>
        <v>3.846E-3</v>
      </c>
      <c r="H22" s="52">
        <f t="shared" si="2"/>
        <v>218150</v>
      </c>
      <c r="I22" s="51">
        <f t="shared" si="3"/>
        <v>2.66</v>
      </c>
      <c r="J22" s="51">
        <f t="shared" si="4"/>
        <v>1.39</v>
      </c>
      <c r="K22" s="34">
        <f>'Production &amp; FA'!F21</f>
        <v>472418</v>
      </c>
      <c r="L22" s="34">
        <f>'Production &amp; FA'!G21</f>
        <v>480529</v>
      </c>
      <c r="M22" s="34">
        <f>'Production &amp; FA'!H21</f>
        <v>525000</v>
      </c>
      <c r="N22" s="34">
        <f>'Production &amp; FA'!I21</f>
        <v>525000</v>
      </c>
      <c r="O22" s="34">
        <f>'Production &amp; FA'!J21</f>
        <v>0</v>
      </c>
      <c r="P22" s="34">
        <f>'Production &amp; FA'!K21</f>
        <v>884</v>
      </c>
      <c r="Q22" s="34">
        <f>'Production &amp; FA'!L21</f>
        <v>943</v>
      </c>
      <c r="R22" s="34">
        <f>'Production &amp; FA'!M21</f>
        <v>895</v>
      </c>
      <c r="S22" s="34">
        <f>'Production &amp; FA'!N21</f>
        <v>0</v>
      </c>
      <c r="T22" s="34">
        <f>'Production &amp; FA'!O21</f>
        <v>670.91000000000008</v>
      </c>
      <c r="U22" s="53">
        <f>'Production &amp; FA'!P21</f>
        <v>0.34704235875625039</v>
      </c>
      <c r="V22" s="34">
        <f>'Production &amp; FA'!Q21</f>
        <v>352227750.00000006</v>
      </c>
      <c r="W22" s="54">
        <f>'Production &amp; FA'!R21</f>
        <v>0.58038333076595772</v>
      </c>
      <c r="X22" s="54">
        <f>'Production &amp; FA'!S21</f>
        <v>7.25</v>
      </c>
      <c r="Y22" s="34">
        <f>'Production &amp; FA'!T21</f>
        <v>0</v>
      </c>
      <c r="Z22" s="34">
        <f>'Production &amp; FA'!U21</f>
        <v>0</v>
      </c>
      <c r="AA22" s="34">
        <f>'Production &amp; FA'!V21</f>
        <v>352227750.00000006</v>
      </c>
      <c r="AB22" s="54">
        <f>'Production &amp; FA'!W21</f>
        <v>4.4970278463295399</v>
      </c>
      <c r="AC22" s="34">
        <f>'Production &amp; FA'!X21</f>
        <v>35.33</v>
      </c>
      <c r="AD22" s="54">
        <f>'Production &amp; FA'!Y21</f>
        <v>7.0000000000000007E-2</v>
      </c>
      <c r="AE22" s="34">
        <f>'Production &amp; FA'!Z21</f>
        <v>37.285714285714278</v>
      </c>
      <c r="AF22" s="53">
        <f>'Production &amp; FA'!AA21</f>
        <v>-5.1048167706833139E-2</v>
      </c>
      <c r="AG22" s="53">
        <f>'Production &amp; FA'!AB21</f>
        <v>0.04</v>
      </c>
      <c r="AH22" s="53">
        <f>'Production &amp; FA'!AC21</f>
        <v>4.19E-2</v>
      </c>
      <c r="AI22" s="53">
        <f>'Production &amp; FA'!AD21</f>
        <v>8.9800000000000005E-2</v>
      </c>
      <c r="AJ22" s="54">
        <f>'Production &amp; FA'!AE21</f>
        <v>8.9361702127659566</v>
      </c>
      <c r="AK22" s="54">
        <f>'Production &amp; FA'!AF21</f>
        <v>6.0212765957446805</v>
      </c>
      <c r="AL22" s="54">
        <f>'Production &amp; FA'!AG21</f>
        <v>4.73970473970474E-2</v>
      </c>
      <c r="AM22" s="54">
        <f>'Production &amp; FA'!AH21</f>
        <v>4.5252225519287835E-2</v>
      </c>
      <c r="AN22" s="83">
        <v>63.12</v>
      </c>
    </row>
    <row r="23" spans="1:40" hidden="1" x14ac:dyDescent="0.25">
      <c r="A23" t="e" vm="56">
        <f>'Production &amp; FA'!B33</f>
        <v>#VALUE!</v>
      </c>
      <c r="B23" t="s">
        <v>99</v>
      </c>
      <c r="C23">
        <f>'Production &amp; FA'!C33</f>
        <v>0.115</v>
      </c>
      <c r="D23" s="50">
        <f>'Production &amp; FA'!D33</f>
        <v>97.313829999999996</v>
      </c>
      <c r="E23" s="50">
        <f>'Production &amp; FA'!E33</f>
        <v>846207217.39130425</v>
      </c>
      <c r="F23" s="51">
        <f t="shared" si="0"/>
        <v>0</v>
      </c>
      <c r="G23" s="17">
        <f t="shared" si="1"/>
        <v>0</v>
      </c>
      <c r="H23" s="52">
        <f t="shared" si="2"/>
        <v>559648</v>
      </c>
      <c r="I23" s="51">
        <f t="shared" si="3"/>
        <v>0.35</v>
      </c>
      <c r="J23" s="51">
        <f t="shared" si="4"/>
        <v>7.4999999999999997E-2</v>
      </c>
      <c r="K23" s="34">
        <f>'Production &amp; FA'!F33</f>
        <v>0</v>
      </c>
      <c r="L23" s="34">
        <f>'Production &amp; FA'!G33</f>
        <v>27316</v>
      </c>
      <c r="M23" s="34">
        <f>'Production &amp; FA'!H33</f>
        <v>45000</v>
      </c>
      <c r="N23" s="34">
        <f>'Production &amp; FA'!I33</f>
        <v>45000</v>
      </c>
      <c r="O23" s="34">
        <f>'Production &amp; FA'!J33</f>
        <v>0</v>
      </c>
      <c r="P23" s="34">
        <f>'Production &amp; FA'!K33</f>
        <v>0</v>
      </c>
      <c r="Q23" s="34">
        <f>'Production &amp; FA'!L33</f>
        <v>2300</v>
      </c>
      <c r="R23" s="34">
        <f>'Production &amp; FA'!M33</f>
        <v>1562.5</v>
      </c>
      <c r="S23" s="34">
        <f>'Production &amp; FA'!N33</f>
        <v>0</v>
      </c>
      <c r="T23" s="34">
        <f>'Production &amp; FA'!O33</f>
        <v>3.4100000000000819</v>
      </c>
      <c r="U23" s="53">
        <f>'Production &amp; FA'!P33</f>
        <v>2.1776475020914877E-3</v>
      </c>
      <c r="V23" s="34">
        <f>'Production &amp; FA'!Q33</f>
        <v>153450.0000000037</v>
      </c>
      <c r="W23" s="54">
        <f>'Production &amp; FA'!R33</f>
        <v>1.813385620522841E-4</v>
      </c>
      <c r="X23" s="54">
        <f>'Production &amp; FA'!S33</f>
        <v>0.89</v>
      </c>
      <c r="Y23" s="34">
        <f>'Production &amp; FA'!T33</f>
        <v>0</v>
      </c>
      <c r="Z23" s="34">
        <f>'Production &amp; FA'!U33</f>
        <v>0</v>
      </c>
      <c r="AA23" s="34">
        <f>'Production &amp; FA'!V33</f>
        <v>153450.0000000037</v>
      </c>
      <c r="AB23" s="54">
        <f>'Production &amp; FA'!W33</f>
        <v>634.17289019222972</v>
      </c>
      <c r="AC23" s="34">
        <f>'Production &amp; FA'!X33</f>
        <v>-1.4999999999999998</v>
      </c>
      <c r="AD23" s="54">
        <f>'Production &amp; FA'!Y33</f>
        <v>-0.1</v>
      </c>
      <c r="AE23" s="34">
        <f>'Production &amp; FA'!Z33</f>
        <v>-1.1499999999999999</v>
      </c>
      <c r="AF23" s="53">
        <f>'Production &amp; FA'!AA33</f>
        <v>0</v>
      </c>
      <c r="AG23" s="53">
        <f>'Production &amp; FA'!AB33</f>
        <v>-0.49459999999999998</v>
      </c>
      <c r="AH23" s="53">
        <f>'Production &amp; FA'!AC33</f>
        <v>-88.6327</v>
      </c>
      <c r="AI23" s="53">
        <f>'Production &amp; FA'!AD33</f>
        <v>-1.2377</v>
      </c>
      <c r="AJ23" s="54">
        <f>'Production &amp; FA'!AE33</f>
        <v>0.25641025641025639</v>
      </c>
      <c r="AK23" s="54">
        <f>'Production &amp; FA'!AF33</f>
        <v>5.128205128205128E-2</v>
      </c>
      <c r="AL23" s="54" t="str">
        <f>'Production &amp; FA'!AG33</f>
        <v>N/A</v>
      </c>
      <c r="AM23" s="54">
        <f>'Production &amp; FA'!AH33</f>
        <v>1.1463414634146341</v>
      </c>
      <c r="AN23" s="83">
        <v>77.17</v>
      </c>
    </row>
    <row r="24" spans="1:40" x14ac:dyDescent="0.25">
      <c r="A24" t="e" vm="39">
        <f>'Production &amp; FA'!B15</f>
        <v>#VALUE!</v>
      </c>
      <c r="B24" t="s">
        <v>97</v>
      </c>
      <c r="C24">
        <f>'Production &amp; FA'!C15</f>
        <v>6.43</v>
      </c>
      <c r="D24" s="50">
        <f>'Production &amp; FA'!D15</f>
        <v>6529.8580000000002</v>
      </c>
      <c r="E24" s="50">
        <f>'Production &amp; FA'!E15</f>
        <v>1015530015.5520996</v>
      </c>
      <c r="F24" s="51">
        <f t="shared" si="0"/>
        <v>7.0000000000000007E-2</v>
      </c>
      <c r="G24" s="17">
        <f t="shared" si="1"/>
        <v>1.1006E-2</v>
      </c>
      <c r="H24" s="52">
        <f t="shared" si="2"/>
        <v>13219914</v>
      </c>
      <c r="I24" s="51">
        <f t="shared" si="3"/>
        <v>6.51</v>
      </c>
      <c r="J24" s="51">
        <f t="shared" si="4"/>
        <v>3.12</v>
      </c>
      <c r="K24" s="34">
        <f>'Production &amp; FA'!F15</f>
        <v>953504</v>
      </c>
      <c r="L24" s="34">
        <f>'Production &amp; FA'!G15</f>
        <v>980219</v>
      </c>
      <c r="M24" s="34">
        <f>'Production &amp; FA'!H15</f>
        <v>1027500</v>
      </c>
      <c r="N24" s="34">
        <f>'Production &amp; FA'!I15</f>
        <v>1027500</v>
      </c>
      <c r="O24" s="34">
        <f>'Production &amp; FA'!J15</f>
        <v>0</v>
      </c>
      <c r="P24" s="34">
        <f>'Production &amp; FA'!K15</f>
        <v>758</v>
      </c>
      <c r="Q24" s="34">
        <f>'Production &amp; FA'!L15</f>
        <v>862</v>
      </c>
      <c r="R24" s="34">
        <f>'Production &amp; FA'!M15</f>
        <v>800</v>
      </c>
      <c r="S24" s="34">
        <f>'Production &amp; FA'!N15</f>
        <v>0</v>
      </c>
      <c r="T24" s="34">
        <f>'Production &amp; FA'!O15</f>
        <v>765.91000000000008</v>
      </c>
      <c r="U24" s="53">
        <f>'Production &amp; FA'!P15</f>
        <v>0.3961831139720674</v>
      </c>
      <c r="V24" s="34">
        <f>'Production &amp; FA'!Q15</f>
        <v>786972525.00000012</v>
      </c>
      <c r="W24" s="54">
        <f>'Production &amp; FA'!R15</f>
        <v>0.77493773000117316</v>
      </c>
      <c r="X24" s="54">
        <f>'Production &amp; FA'!S15</f>
        <v>5.82</v>
      </c>
      <c r="Y24" s="34">
        <f>'Production &amp; FA'!T15</f>
        <v>0</v>
      </c>
      <c r="Z24" s="34">
        <f>'Production &amp; FA'!U15</f>
        <v>0</v>
      </c>
      <c r="AA24" s="34">
        <f>'Production &amp; FA'!V15</f>
        <v>786972525.00000012</v>
      </c>
      <c r="AB24" s="54">
        <f>'Production &amp; FA'!W15</f>
        <v>8.2974408795275281</v>
      </c>
      <c r="AC24" s="34">
        <f>'Production &amp; FA'!X15</f>
        <v>398.85</v>
      </c>
      <c r="AD24" s="54">
        <f>'Production &amp; FA'!Y15</f>
        <v>0.28999999999999998</v>
      </c>
      <c r="AE24" s="34">
        <f>'Production &amp; FA'!Z15</f>
        <v>22.172413793103448</v>
      </c>
      <c r="AF24" s="53">
        <f>'Production &amp; FA'!AA15</f>
        <v>0.81249999999999989</v>
      </c>
      <c r="AG24" s="53">
        <f>'Production &amp; FA'!AB15</f>
        <v>0.112</v>
      </c>
      <c r="AH24" s="53">
        <f>'Production &amp; FA'!AC15</f>
        <v>0.16289999999999999</v>
      </c>
      <c r="AI24" s="53">
        <f>'Production &amp; FA'!AD15</f>
        <v>0.25390000000000001</v>
      </c>
      <c r="AJ24" s="54">
        <f>'Production &amp; FA'!AE15</f>
        <v>2.4666666666666668</v>
      </c>
      <c r="AK24" s="54">
        <f>'Production &amp; FA'!AF15</f>
        <v>0.8545454545454545</v>
      </c>
      <c r="AL24" s="54">
        <f>'Production &amp; FA'!AG15</f>
        <v>0.34824120603015074</v>
      </c>
      <c r="AM24" s="54">
        <f>'Production &amp; FA'!AH15</f>
        <v>0.25829295564666416</v>
      </c>
      <c r="AN24" s="83">
        <v>65</v>
      </c>
    </row>
    <row r="25" spans="1:40" x14ac:dyDescent="0.25">
      <c r="A25" t="e" vm="57">
        <f>'Production &amp; FA'!B39</f>
        <v>#VALUE!</v>
      </c>
      <c r="B25" t="s">
        <v>99</v>
      </c>
      <c r="C25">
        <f>'Production &amp; FA'!C39</f>
        <v>7.97</v>
      </c>
      <c r="D25" s="50">
        <f>'Production &amp; FA'!D39</f>
        <v>469.94389999999999</v>
      </c>
      <c r="E25" s="50">
        <f>'Production &amp; FA'!E39</f>
        <v>58964102.885821834</v>
      </c>
      <c r="F25" s="51">
        <f t="shared" si="0"/>
        <v>-0.08</v>
      </c>
      <c r="G25" s="17">
        <f t="shared" si="1"/>
        <v>-9.9380000000000007E-3</v>
      </c>
      <c r="H25" s="52">
        <f t="shared" si="2"/>
        <v>140550</v>
      </c>
      <c r="I25" s="51">
        <f t="shared" si="3"/>
        <v>9.9</v>
      </c>
      <c r="J25" s="51">
        <f t="shared" si="4"/>
        <v>4.0199999999999996</v>
      </c>
      <c r="K25" s="34">
        <f>'Production &amp; FA'!F39</f>
        <v>0</v>
      </c>
      <c r="L25" s="34">
        <f>'Production &amp; FA'!G39</f>
        <v>0</v>
      </c>
      <c r="M25" s="34">
        <f>'Production &amp; FA'!H39</f>
        <v>210000</v>
      </c>
      <c r="N25" s="34">
        <f>'Production &amp; FA'!I39</f>
        <v>210000</v>
      </c>
      <c r="O25" s="34">
        <f>'Production &amp; FA'!J39</f>
        <v>0</v>
      </c>
      <c r="P25" s="34">
        <f>'Production &amp; FA'!K39</f>
        <v>0</v>
      </c>
      <c r="Q25" s="34">
        <f>'Production &amp; FA'!L39</f>
        <v>0</v>
      </c>
      <c r="R25" s="34">
        <f>'Production &amp; FA'!M39</f>
        <v>800</v>
      </c>
      <c r="S25" s="34">
        <f>'Production &amp; FA'!N39</f>
        <v>0</v>
      </c>
      <c r="T25" s="34">
        <f>'Production &amp; FA'!O39</f>
        <v>765.91000000000008</v>
      </c>
      <c r="U25" s="53">
        <f>'Production &amp; FA'!P39</f>
        <v>0.48911495552107082</v>
      </c>
      <c r="V25" s="34">
        <f>'Production &amp; FA'!Q39</f>
        <v>160841100.00000003</v>
      </c>
      <c r="W25" s="54">
        <f>'Production &amp; FA'!R39</f>
        <v>2.7277799903350171</v>
      </c>
      <c r="X25" s="54">
        <f>'Production &amp; FA'!S39</f>
        <v>4.4000000000000004</v>
      </c>
      <c r="Y25" s="34">
        <f>'Production &amp; FA'!T39</f>
        <v>0</v>
      </c>
      <c r="Z25" s="34">
        <f>'Production &amp; FA'!U39</f>
        <v>0</v>
      </c>
      <c r="AA25" s="34">
        <f>'Production &amp; FA'!V39</f>
        <v>160841100.00000003</v>
      </c>
      <c r="AB25" s="54">
        <f>'Production &amp; FA'!W39</f>
        <v>2.9217898907679687</v>
      </c>
      <c r="AC25" s="34">
        <f>'Production &amp; FA'!X39</f>
        <v>0</v>
      </c>
      <c r="AD25" s="54">
        <f>'Production &amp; FA'!Y39</f>
        <v>0</v>
      </c>
      <c r="AE25" s="34">
        <f>'Production &amp; FA'!Z39</f>
        <v>0</v>
      </c>
      <c r="AF25" s="53">
        <f>'Production &amp; FA'!AA39</f>
        <v>0</v>
      </c>
      <c r="AG25" s="53">
        <f>'Production &amp; FA'!AB39</f>
        <v>0</v>
      </c>
      <c r="AH25" s="53">
        <f>'Production &amp; FA'!AC39</f>
        <v>0</v>
      </c>
      <c r="AI25" s="53">
        <f>'Production &amp; FA'!AD39</f>
        <v>0</v>
      </c>
      <c r="AJ25" s="54">
        <f>'Production &amp; FA'!AE39</f>
        <v>0.20454545454545456</v>
      </c>
      <c r="AK25" s="54">
        <f>'Production &amp; FA'!AF39</f>
        <v>0.13636363636363635</v>
      </c>
      <c r="AL25" s="54">
        <f>'Production &amp; FA'!AG39</f>
        <v>0.33816964285714285</v>
      </c>
      <c r="AM25" s="54">
        <f>'Production &amp; FA'!AH39</f>
        <v>0.25271059216013342</v>
      </c>
      <c r="AN25" s="83">
        <v>69.291951219512185</v>
      </c>
    </row>
    <row r="26" spans="1:40" x14ac:dyDescent="0.25">
      <c r="A26" t="e" vm="58">
        <f>'Production &amp; FA'!B38</f>
        <v>#VALUE!</v>
      </c>
      <c r="B26" t="s">
        <v>99</v>
      </c>
      <c r="C26">
        <f>'Production &amp; FA'!C38</f>
        <v>1.29</v>
      </c>
      <c r="D26" s="50">
        <f>'Production &amp; FA'!D38</f>
        <v>126.8386</v>
      </c>
      <c r="E26" s="50">
        <f>'Production &amp; FA'!E38</f>
        <v>98324496.124031007</v>
      </c>
      <c r="F26" s="51">
        <f t="shared" si="0"/>
        <v>0.19</v>
      </c>
      <c r="G26" s="17">
        <f t="shared" si="1"/>
        <v>0.17272699999999999</v>
      </c>
      <c r="H26" s="52">
        <f t="shared" si="2"/>
        <v>1271742</v>
      </c>
      <c r="I26" s="51">
        <f t="shared" si="3"/>
        <v>6.95</v>
      </c>
      <c r="J26" s="51">
        <f t="shared" si="4"/>
        <v>0.44</v>
      </c>
      <c r="K26" s="34">
        <f>'Production &amp; FA'!F38</f>
        <v>110970</v>
      </c>
      <c r="L26" s="34">
        <f>'Production &amp; FA'!G38</f>
        <v>139510</v>
      </c>
      <c r="M26" s="34">
        <f>'Production &amp; FA'!H38</f>
        <v>113700</v>
      </c>
      <c r="N26" s="34">
        <f>'Production &amp; FA'!I38</f>
        <v>113700</v>
      </c>
      <c r="O26" s="34">
        <f>'Production &amp; FA'!J38</f>
        <v>0</v>
      </c>
      <c r="P26" s="34">
        <f>'Production &amp; FA'!K38</f>
        <v>1291</v>
      </c>
      <c r="Q26" s="34">
        <f>'Production &amp; FA'!L38</f>
        <v>1075</v>
      </c>
      <c r="R26" s="34">
        <f>'Production &amp; FA'!M38</f>
        <v>1100</v>
      </c>
      <c r="S26" s="34">
        <f>'Production &amp; FA'!N38</f>
        <v>0</v>
      </c>
      <c r="T26" s="34">
        <f>'Production &amp; FA'!O38</f>
        <v>465.91000000000008</v>
      </c>
      <c r="U26" s="53">
        <f>'Production &amp; FA'!P38</f>
        <v>0.29753306384147243</v>
      </c>
      <c r="V26" s="34">
        <f>'Production &amp; FA'!Q38</f>
        <v>52973967.000000007</v>
      </c>
      <c r="W26" s="54">
        <f>'Production &amp; FA'!R38</f>
        <v>0.53876672740001863</v>
      </c>
      <c r="X26" s="54">
        <f>'Production &amp; FA'!S38</f>
        <v>5.2</v>
      </c>
      <c r="Y26" s="34">
        <f>'Production &amp; FA'!T38</f>
        <v>0</v>
      </c>
      <c r="Z26" s="34">
        <f>'Production &amp; FA'!U38</f>
        <v>0</v>
      </c>
      <c r="AA26" s="34">
        <f>'Production &amp; FA'!V38</f>
        <v>52973967.000000007</v>
      </c>
      <c r="AB26" s="54">
        <f>'Production &amp; FA'!W38</f>
        <v>2.3943572132326807</v>
      </c>
      <c r="AC26" s="34">
        <f>'Production &amp; FA'!X38</f>
        <v>0</v>
      </c>
      <c r="AD26" s="54">
        <f>'Production &amp; FA'!Y38</f>
        <v>0</v>
      </c>
      <c r="AE26" s="34">
        <f>'Production &amp; FA'!Z38</f>
        <v>0</v>
      </c>
      <c r="AF26" s="53">
        <f>'Production &amp; FA'!AA38</f>
        <v>0</v>
      </c>
      <c r="AG26" s="53">
        <f>'Production &amp; FA'!AB38</f>
        <v>0</v>
      </c>
      <c r="AH26" s="53">
        <f>'Production &amp; FA'!AC38</f>
        <v>0</v>
      </c>
      <c r="AI26" s="53">
        <f>'Production &amp; FA'!AD38</f>
        <v>0</v>
      </c>
      <c r="AJ26" s="54">
        <f>'Production &amp; FA'!AE38</f>
        <v>0</v>
      </c>
      <c r="AK26" s="54">
        <f>'Production &amp; FA'!AF38</f>
        <v>0</v>
      </c>
      <c r="AL26" s="54">
        <f>'Production &amp; FA'!AG38</f>
        <v>0</v>
      </c>
      <c r="AM26" s="54">
        <f>'Production &amp; FA'!AH38</f>
        <v>0</v>
      </c>
      <c r="AN26" s="83">
        <v>79.146907216494839</v>
      </c>
    </row>
    <row r="27" spans="1:40" hidden="1" x14ac:dyDescent="0.25">
      <c r="A27" t="e" vm="54">
        <f>'Production &amp; FA'!B37</f>
        <v>#VALUE!</v>
      </c>
      <c r="B27" t="s">
        <v>99</v>
      </c>
      <c r="C27">
        <f>'Production &amp; FA'!C37</f>
        <v>9.65</v>
      </c>
      <c r="D27" s="50">
        <f>'Production &amp; FA'!D37</f>
        <v>1587.5340000000001</v>
      </c>
      <c r="E27" s="50">
        <f>'Production &amp; FA'!E37</f>
        <v>164511295.33678755</v>
      </c>
      <c r="F27" s="51">
        <f t="shared" si="0"/>
        <v>0.14000000000000001</v>
      </c>
      <c r="G27" s="17">
        <f t="shared" si="1"/>
        <v>1.4721E-2</v>
      </c>
      <c r="H27" s="52">
        <f t="shared" si="2"/>
        <v>1637950</v>
      </c>
      <c r="I27" s="51">
        <f t="shared" si="3"/>
        <v>9.65</v>
      </c>
      <c r="J27" s="51">
        <f t="shared" si="4"/>
        <v>2.97</v>
      </c>
      <c r="K27" s="34">
        <f>'Production &amp; FA'!F37</f>
        <v>245230</v>
      </c>
      <c r="L27" s="34">
        <f>'Production &amp; FA'!G37</f>
        <v>288768</v>
      </c>
      <c r="M27" s="34">
        <f>'Production &amp; FA'!H37</f>
        <v>350000</v>
      </c>
      <c r="N27" s="34">
        <f>'Production &amp; FA'!I37</f>
        <v>350000</v>
      </c>
      <c r="O27" s="34">
        <f>'Production &amp; FA'!J37</f>
        <v>0</v>
      </c>
      <c r="P27" s="34">
        <f>'Production &amp; FA'!K37</f>
        <v>887</v>
      </c>
      <c r="Q27" s="34">
        <f>'Production &amp; FA'!L37</f>
        <v>963</v>
      </c>
      <c r="R27" s="34">
        <f>'Production &amp; FA'!M37</f>
        <v>1037.5</v>
      </c>
      <c r="S27" s="34">
        <f>'Production &amp; FA'!N37</f>
        <v>0</v>
      </c>
      <c r="T27" s="34">
        <f>'Production &amp; FA'!O37</f>
        <v>528.41000000000008</v>
      </c>
      <c r="U27" s="53">
        <f>'Production &amp; FA'!P37</f>
        <v>0.33744595794138876</v>
      </c>
      <c r="V27" s="34">
        <f>'Production &amp; FA'!Q37</f>
        <v>184943500.00000003</v>
      </c>
      <c r="W27" s="54">
        <f>'Production &amp; FA'!R37</f>
        <v>1.1241994029734168</v>
      </c>
      <c r="X27" s="54">
        <f>'Production &amp; FA'!S37</f>
        <v>2.19</v>
      </c>
      <c r="Y27" s="34">
        <f>'Production &amp; FA'!T37</f>
        <v>0</v>
      </c>
      <c r="Z27" s="34">
        <f>'Production &amp; FA'!U37</f>
        <v>0</v>
      </c>
      <c r="AA27" s="34">
        <f>'Production &amp; FA'!V37</f>
        <v>184943500.00000003</v>
      </c>
      <c r="AB27" s="54">
        <f>'Production &amp; FA'!W37</f>
        <v>8.5838864301800264</v>
      </c>
      <c r="AC27" s="34">
        <f>'Production &amp; FA'!X37</f>
        <v>-22.64516129032258</v>
      </c>
      <c r="AD27" s="54">
        <f>'Production &amp; FA'!Y37</f>
        <v>-0.31</v>
      </c>
      <c r="AE27" s="34">
        <f>'Production &amp; FA'!Z37</f>
        <v>-31.129032258064516</v>
      </c>
      <c r="AF27" s="53">
        <f>'Production &amp; FA'!AA37</f>
        <v>0.21191031267142074</v>
      </c>
      <c r="AG27" s="53">
        <f>'Production &amp; FA'!AB37</f>
        <v>-3.1600000000000003E-2</v>
      </c>
      <c r="AH27" s="53">
        <f>'Production &amp; FA'!AC37</f>
        <v>-5.91E-2</v>
      </c>
      <c r="AI27" s="53">
        <f>'Production &amp; FA'!AD37</f>
        <v>-9.4500000000000001E-2</v>
      </c>
      <c r="AJ27" s="54">
        <f>'Production &amp; FA'!AE37</f>
        <v>0.77960526315789469</v>
      </c>
      <c r="AK27" s="54">
        <f>'Production &amp; FA'!AF37</f>
        <v>9.8684210526315791E-2</v>
      </c>
      <c r="AL27" s="54">
        <f>'Production &amp; FA'!AG37</f>
        <v>1.1420765027322404</v>
      </c>
      <c r="AM27" s="54">
        <f>'Production &amp; FA'!AH37</f>
        <v>0.53061224489795922</v>
      </c>
      <c r="AN27" s="83">
        <v>69.176892253511355</v>
      </c>
    </row>
    <row r="28" spans="1:40" x14ac:dyDescent="0.25">
      <c r="A28" t="e" vm="45">
        <f>'Production &amp; FA'!B34</f>
        <v>#VALUE!</v>
      </c>
      <c r="B28" t="s">
        <v>99</v>
      </c>
      <c r="C28">
        <f>'Production &amp; FA'!C34</f>
        <v>3.85</v>
      </c>
      <c r="D28" s="50">
        <f>'Production &amp; FA'!D34</f>
        <v>857.61599999999999</v>
      </c>
      <c r="E28" s="50">
        <f>'Production &amp; FA'!E34</f>
        <v>222757402.5974026</v>
      </c>
      <c r="F28" s="51">
        <f t="shared" si="0"/>
        <v>-0.19</v>
      </c>
      <c r="G28" s="17">
        <f t="shared" si="1"/>
        <v>-4.7030000000000002E-2</v>
      </c>
      <c r="H28" s="52">
        <f t="shared" si="2"/>
        <v>2298302</v>
      </c>
      <c r="I28" s="51">
        <f t="shared" si="3"/>
        <v>4.4649999999999999</v>
      </c>
      <c r="J28" s="51">
        <f t="shared" si="4"/>
        <v>1.27</v>
      </c>
      <c r="K28" s="34">
        <f>'Production &amp; FA'!F34</f>
        <v>47237</v>
      </c>
      <c r="L28" s="34">
        <f>'Production &amp; FA'!G34</f>
        <v>82256</v>
      </c>
      <c r="M28" s="34">
        <f>'Production &amp; FA'!H34</f>
        <v>115000</v>
      </c>
      <c r="N28" s="34">
        <f>'Production &amp; FA'!I34</f>
        <v>115000</v>
      </c>
      <c r="O28" s="34">
        <f>'Production &amp; FA'!J34</f>
        <v>0</v>
      </c>
      <c r="P28" s="34">
        <f>'Production &amp; FA'!K34</f>
        <v>809</v>
      </c>
      <c r="Q28" s="34">
        <f>'Production &amp; FA'!L34</f>
        <v>680</v>
      </c>
      <c r="R28" s="34">
        <f>'Production &amp; FA'!M34</f>
        <v>750</v>
      </c>
      <c r="S28" s="34">
        <f>'Production &amp; FA'!N34</f>
        <v>0</v>
      </c>
      <c r="T28" s="34">
        <f>'Production &amp; FA'!O34</f>
        <v>815.91000000000008</v>
      </c>
      <c r="U28" s="53">
        <f>'Production &amp; FA'!P34</f>
        <v>0.52104527080100393</v>
      </c>
      <c r="V28" s="34">
        <f>'Production &amp; FA'!Q34</f>
        <v>93829650.000000015</v>
      </c>
      <c r="W28" s="54">
        <f>'Production &amp; FA'!R34</f>
        <v>0.42121899836290372</v>
      </c>
      <c r="X28" s="54">
        <f>'Production &amp; FA'!S34</f>
        <v>2.4</v>
      </c>
      <c r="Y28" s="34">
        <f>'Production &amp; FA'!T34</f>
        <v>0</v>
      </c>
      <c r="Z28" s="34">
        <f>'Production &amp; FA'!U34</f>
        <v>0</v>
      </c>
      <c r="AA28" s="34">
        <f>'Production &amp; FA'!V34</f>
        <v>93829650.000000015</v>
      </c>
      <c r="AB28" s="54">
        <f>'Production &amp; FA'!W34</f>
        <v>9.1401385382978617</v>
      </c>
      <c r="AC28" s="34">
        <f>'Production &amp; FA'!X34</f>
        <v>9.19</v>
      </c>
      <c r="AD28" s="54">
        <f>'Production &amp; FA'!Y34</f>
        <v>0.16</v>
      </c>
      <c r="AE28" s="34">
        <f>'Production &amp; FA'!Z34</f>
        <v>24.0625</v>
      </c>
      <c r="AF28" s="53">
        <f>'Production &amp; FA'!AA34</f>
        <v>0.92452830188679247</v>
      </c>
      <c r="AG28" s="53">
        <f>'Production &amp; FA'!AB34</f>
        <v>0.2681</v>
      </c>
      <c r="AH28" s="53">
        <f>'Production &amp; FA'!AC34</f>
        <v>0.33639999999999998</v>
      </c>
      <c r="AI28" s="53">
        <f>'Production &amp; FA'!AD34</f>
        <v>0.32</v>
      </c>
      <c r="AJ28" s="54">
        <f>'Production &amp; FA'!AE34</f>
        <v>1.5666666666666667</v>
      </c>
      <c r="AK28" s="54">
        <f>'Production &amp; FA'!AF34</f>
        <v>1</v>
      </c>
      <c r="AL28" s="54">
        <f>'Production &amp; FA'!AG34</f>
        <v>0.24</v>
      </c>
      <c r="AM28" s="54">
        <f>'Production &amp; FA'!AH34</f>
        <v>0.19354838709677419</v>
      </c>
      <c r="AN28" s="83">
        <v>77.27</v>
      </c>
    </row>
    <row r="29" spans="1:40" x14ac:dyDescent="0.25">
      <c r="A29" t="e" vm="43">
        <f>'Production &amp; FA'!B35</f>
        <v>#VALUE!</v>
      </c>
      <c r="B29" t="s">
        <v>99</v>
      </c>
      <c r="C29">
        <f>'Production &amp; FA'!C35</f>
        <v>1.42</v>
      </c>
      <c r="D29" s="50">
        <f>'Production &amp; FA'!D35</f>
        <v>378.41660000000002</v>
      </c>
      <c r="E29" s="50">
        <f>'Production &amp; FA'!E35</f>
        <v>266490563.38028172</v>
      </c>
      <c r="F29" s="51">
        <f t="shared" si="0"/>
        <v>0.11</v>
      </c>
      <c r="G29" s="17">
        <f t="shared" si="1"/>
        <v>8.3969000000000002E-2</v>
      </c>
      <c r="H29" s="52">
        <f t="shared" si="2"/>
        <v>902717</v>
      </c>
      <c r="I29" s="51">
        <f t="shared" si="3"/>
        <v>2.84</v>
      </c>
      <c r="J29" s="51">
        <f t="shared" si="4"/>
        <v>0.76</v>
      </c>
      <c r="K29" s="34">
        <f>'Production &amp; FA'!F35</f>
        <v>175640</v>
      </c>
      <c r="L29" s="34">
        <f>'Production &amp; FA'!G35</f>
        <v>174420</v>
      </c>
      <c r="M29" s="34">
        <f>'Production &amp; FA'!H35</f>
        <v>172500</v>
      </c>
      <c r="N29" s="34">
        <f>'Production &amp; FA'!I35</f>
        <v>172500</v>
      </c>
      <c r="O29" s="34">
        <f>'Production &amp; FA'!J35</f>
        <v>0</v>
      </c>
      <c r="P29" s="34">
        <f>'Production &amp; FA'!K35</f>
        <v>1061</v>
      </c>
      <c r="Q29" s="34">
        <f>'Production &amp; FA'!L35</f>
        <v>1083</v>
      </c>
      <c r="R29" s="34">
        <f>'Production &amp; FA'!M35</f>
        <v>1100</v>
      </c>
      <c r="S29" s="34">
        <f>'Production &amp; FA'!N35</f>
        <v>0</v>
      </c>
      <c r="T29" s="34">
        <f>'Production &amp; FA'!O35</f>
        <v>465.91000000000008</v>
      </c>
      <c r="U29" s="53">
        <f>'Production &amp; FA'!P35</f>
        <v>0.29753306384147243</v>
      </c>
      <c r="V29" s="34">
        <f>'Production &amp; FA'!Q35</f>
        <v>80369475.000000015</v>
      </c>
      <c r="W29" s="54">
        <f>'Production &amp; FA'!R35</f>
        <v>0.30158469395898596</v>
      </c>
      <c r="X29" s="54">
        <f>'Production &amp; FA'!S35</f>
        <v>0.74</v>
      </c>
      <c r="Y29" s="34">
        <f>'Production &amp; FA'!T35</f>
        <v>0</v>
      </c>
      <c r="Z29" s="34">
        <f>'Production &amp; FA'!U35</f>
        <v>0</v>
      </c>
      <c r="AA29" s="34">
        <f>'Production &amp; FA'!V35</f>
        <v>80369475.000000015</v>
      </c>
      <c r="AB29" s="54">
        <f>'Production &amp; FA'!W35</f>
        <v>4.7084617636235642</v>
      </c>
      <c r="AC29" s="34">
        <f>'Production &amp; FA'!X35</f>
        <v>-9.7647058823529402</v>
      </c>
      <c r="AD29" s="54">
        <f>'Production &amp; FA'!Y35</f>
        <v>-0.17</v>
      </c>
      <c r="AE29" s="34">
        <f>'Production &amp; FA'!Z35</f>
        <v>-8.352941176470587</v>
      </c>
      <c r="AF29" s="53">
        <f>'Production &amp; FA'!AA35</f>
        <v>0.73440047428486732</v>
      </c>
      <c r="AG29" s="53">
        <f>'Production &amp; FA'!AB35</f>
        <v>-9.5699999999999993E-2</v>
      </c>
      <c r="AH29" s="53">
        <f>'Production &amp; FA'!AC35</f>
        <v>-0.12130000000000001</v>
      </c>
      <c r="AI29" s="53">
        <f>'Production &amp; FA'!AD35</f>
        <v>-0.51060000000000005</v>
      </c>
      <c r="AJ29" s="54">
        <f>'Production &amp; FA'!AE35</f>
        <v>1.8775510204081634</v>
      </c>
      <c r="AK29" s="54">
        <f>'Production &amp; FA'!AF35</f>
        <v>0.93877551020408168</v>
      </c>
      <c r="AL29" s="54">
        <f>'Production &amp; FA'!AG35</f>
        <v>0.26452905811623245</v>
      </c>
      <c r="AM29" s="54">
        <f>'Production &amp; FA'!AH35</f>
        <v>0.2091917591125198</v>
      </c>
      <c r="AN29" s="83">
        <v>75</v>
      </c>
    </row>
    <row r="30" spans="1:40" hidden="1" x14ac:dyDescent="0.25">
      <c r="A30" t="e" vm="40">
        <f>'Production &amp; FA'!B40</f>
        <v>#VALUE!</v>
      </c>
      <c r="B30" t="s">
        <v>99</v>
      </c>
      <c r="C30">
        <f>'Production &amp; FA'!C40</f>
        <v>9.51</v>
      </c>
      <c r="D30" s="50">
        <f>'Production &amp; FA'!D40</f>
        <v>1348.1859999999999</v>
      </c>
      <c r="E30" s="50">
        <f>'Production &amp; FA'!E40</f>
        <v>141765089.37960044</v>
      </c>
      <c r="F30" s="51">
        <f t="shared" si="0"/>
        <v>-0.26</v>
      </c>
      <c r="G30" s="17">
        <f t="shared" si="1"/>
        <v>-2.6612E-2</v>
      </c>
      <c r="H30" s="52">
        <f t="shared" si="2"/>
        <v>1027871</v>
      </c>
      <c r="I30" s="51">
        <f t="shared" si="3"/>
        <v>11.06</v>
      </c>
      <c r="J30" s="51">
        <f t="shared" si="4"/>
        <v>3.96</v>
      </c>
      <c r="K30" s="34">
        <f>'Production &amp; FA'!F40</f>
        <v>71625</v>
      </c>
      <c r="L30" s="34">
        <f>'Production &amp; FA'!G40</f>
        <v>91688</v>
      </c>
      <c r="M30" s="34">
        <f>'Production &amp; FA'!H40</f>
        <v>95000</v>
      </c>
      <c r="N30" s="34">
        <f>'Production &amp; FA'!I40</f>
        <v>95000</v>
      </c>
      <c r="O30" s="34">
        <f>'Production &amp; FA'!J40</f>
        <v>0</v>
      </c>
      <c r="P30" s="34">
        <f>'Production &amp; FA'!K40</f>
        <v>1276</v>
      </c>
      <c r="Q30" s="34">
        <f>'Production &amp; FA'!L40</f>
        <v>1293</v>
      </c>
      <c r="R30" s="34">
        <f>'Production &amp; FA'!M40</f>
        <v>1315</v>
      </c>
      <c r="S30" s="34">
        <f>'Production &amp; FA'!N40</f>
        <v>0</v>
      </c>
      <c r="T30" s="34">
        <f>'Production &amp; FA'!O40</f>
        <v>250.91000000000008</v>
      </c>
      <c r="U30" s="53">
        <f>'Production &amp; FA'!P40</f>
        <v>0.16023270813776019</v>
      </c>
      <c r="V30" s="34">
        <f>'Production &amp; FA'!Q40</f>
        <v>23836450.000000007</v>
      </c>
      <c r="W30" s="54">
        <f>'Production &amp; FA'!R40</f>
        <v>0.16814047876183261</v>
      </c>
      <c r="X30" s="54">
        <f>'Production &amp; FA'!S40</f>
        <v>0.5605</v>
      </c>
      <c r="Y30" s="34">
        <f>'Production &amp; FA'!T40</f>
        <v>0</v>
      </c>
      <c r="Z30" s="34">
        <f>'Production &amp; FA'!U40</f>
        <v>0</v>
      </c>
      <c r="AA30" s="34">
        <f>'Production &amp; FA'!V40</f>
        <v>23836450.000000007</v>
      </c>
      <c r="AB30" s="54">
        <f>'Production &amp; FA'!W40</f>
        <v>56.559848467368241</v>
      </c>
      <c r="AC30" s="34">
        <f>'Production &amp; FA'!X40</f>
        <v>44.22</v>
      </c>
      <c r="AD30" s="54">
        <f>'Production &amp; FA'!Y40</f>
        <v>0.3</v>
      </c>
      <c r="AE30" s="34">
        <f>'Production &amp; FA'!Z40</f>
        <v>31.7</v>
      </c>
      <c r="AF30" s="53">
        <f>'Production &amp; FA'!AA40</f>
        <v>0.70695398709140111</v>
      </c>
      <c r="AG30" s="53">
        <f>'Production &amp; FA'!AB40</f>
        <v>0.1653</v>
      </c>
      <c r="AH30" s="53">
        <f>'Production &amp; FA'!AC40</f>
        <v>0.22520000000000001</v>
      </c>
      <c r="AI30" s="53">
        <f>'Production &amp; FA'!AD40</f>
        <v>0.24970000000000001</v>
      </c>
      <c r="AJ30" s="54">
        <f>'Production &amp; FA'!AE40</f>
        <v>2.1785714285714284</v>
      </c>
      <c r="AK30" s="54">
        <f>'Production &amp; FA'!AF40</f>
        <v>1.2857142857142858</v>
      </c>
      <c r="AL30" s="54">
        <f>'Production &amp; FA'!AG40</f>
        <v>0.38164251207729466</v>
      </c>
      <c r="AM30" s="54">
        <f>'Production &amp; FA'!AH40</f>
        <v>0.2762237762237762</v>
      </c>
      <c r="AN30" s="83">
        <v>77.17</v>
      </c>
    </row>
  </sheetData>
  <conditionalFormatting sqref="G2:G30">
    <cfRule type="dataBar" priority="1">
      <dataBar>
        <cfvo type="min"/>
        <cfvo type="max"/>
        <color rgb="FF638EC6"/>
      </dataBar>
      <extLst>
        <ext xmlns:x14="http://schemas.microsoft.com/office/spreadsheetml/2009/9/main" uri="{B025F937-C7B1-47D3-B67F-A62EFF666E3E}">
          <x14:id>{83BF065E-C5DF-40A7-AA65-ACA37C26D12C}</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83BF065E-C5DF-40A7-AA65-ACA37C26D12C}">
            <x14:dataBar minLength="0" maxLength="100" border="1" negativeBarBorderColorSameAsPositive="0">
              <x14:cfvo type="autoMin"/>
              <x14:cfvo type="autoMax"/>
              <x14:borderColor rgb="FF638EC6"/>
              <x14:negativeFillColor rgb="FFFF0000"/>
              <x14:negativeBorderColor rgb="FFFF0000"/>
              <x14:axisColor rgb="FF000000"/>
            </x14:dataBar>
          </x14:cfRule>
          <xm:sqref>G2:G30</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580AB-685B-4D9E-9971-9355074CAAC4}">
  <sheetPr codeName="Sheet18">
    <tabColor theme="7"/>
  </sheetPr>
  <dimension ref="B1:J61"/>
  <sheetViews>
    <sheetView workbookViewId="0">
      <selection activeCell="L8" sqref="L8"/>
    </sheetView>
  </sheetViews>
  <sheetFormatPr defaultRowHeight="15" x14ac:dyDescent="0.25"/>
  <cols>
    <col min="1" max="1" width="2.7109375" style="1" customWidth="1"/>
    <col min="2" max="2" width="24.7109375" style="1" bestFit="1" customWidth="1"/>
    <col min="3" max="3" width="9.140625" style="1"/>
    <col min="4" max="4" width="22.7109375" style="1" bestFit="1" customWidth="1"/>
    <col min="5" max="5" width="16.7109375" style="1" bestFit="1" customWidth="1"/>
    <col min="6" max="6" width="13.7109375" style="14" bestFit="1" customWidth="1"/>
    <col min="7" max="7" width="13.7109375" style="11" customWidth="1"/>
    <col min="8" max="8" width="20.5703125" style="1" bestFit="1" customWidth="1"/>
    <col min="9" max="9" width="37" style="1" bestFit="1" customWidth="1"/>
    <col min="10" max="10" width="14.42578125" style="1" bestFit="1" customWidth="1"/>
    <col min="11" max="11" width="9.140625" style="1"/>
    <col min="12" max="12" width="12.7109375" style="1" bestFit="1" customWidth="1"/>
    <col min="13" max="13" width="10.140625" style="1" bestFit="1" customWidth="1"/>
    <col min="14" max="14" width="11.5703125" style="1" bestFit="1" customWidth="1"/>
    <col min="15" max="15" width="11.7109375" style="1" bestFit="1" customWidth="1"/>
    <col min="16" max="16" width="17.5703125" style="1" bestFit="1" customWidth="1"/>
    <col min="17" max="17" width="16.42578125" style="1" bestFit="1" customWidth="1"/>
    <col min="18" max="16384" width="9.140625" style="1"/>
  </cols>
  <sheetData>
    <row r="1" spans="2:10" x14ac:dyDescent="0.25">
      <c r="B1" s="7" t="s">
        <v>75</v>
      </c>
      <c r="C1" s="7" t="s">
        <v>263</v>
      </c>
      <c r="I1" s="77" t="s">
        <v>75</v>
      </c>
      <c r="J1" s="78" t="s">
        <v>263</v>
      </c>
    </row>
    <row r="2" spans="2:10" x14ac:dyDescent="0.25">
      <c r="B2" s="1" t="s">
        <v>1</v>
      </c>
      <c r="C2" s="9">
        <f>H13</f>
        <v>74.853145400593462</v>
      </c>
      <c r="D2" s="1" t="s">
        <v>1</v>
      </c>
      <c r="I2" s="1" t="s">
        <v>141</v>
      </c>
      <c r="J2" s="9">
        <f>C6</f>
        <v>76.067219167321298</v>
      </c>
    </row>
    <row r="3" spans="2:10" x14ac:dyDescent="0.25">
      <c r="B3" s="1" t="s">
        <v>2</v>
      </c>
      <c r="C3" s="9">
        <f>H28</f>
        <v>58.549534820824881</v>
      </c>
      <c r="D3" s="1" t="s">
        <v>100</v>
      </c>
      <c r="E3" s="1" t="s">
        <v>101</v>
      </c>
      <c r="F3" s="14" t="s">
        <v>104</v>
      </c>
      <c r="G3" s="11" t="s">
        <v>105</v>
      </c>
      <c r="H3" s="1" t="s">
        <v>117</v>
      </c>
      <c r="I3" s="1" t="s">
        <v>137</v>
      </c>
      <c r="J3" s="9">
        <f>C5</f>
        <v>70.416270400711241</v>
      </c>
    </row>
    <row r="4" spans="2:10" x14ac:dyDescent="0.25">
      <c r="B4" s="1" t="s">
        <v>3</v>
      </c>
      <c r="C4" s="9">
        <f>H61</f>
        <v>71.8</v>
      </c>
      <c r="D4" s="1" t="s">
        <v>102</v>
      </c>
      <c r="E4" s="1" t="s">
        <v>103</v>
      </c>
      <c r="F4" s="14">
        <v>330000</v>
      </c>
      <c r="G4" s="11">
        <f>F4/$F$13</f>
        <v>0.19584569732937684</v>
      </c>
      <c r="H4" s="40">
        <f>(73.44*G4)</f>
        <v>14.382908011869436</v>
      </c>
      <c r="I4" s="1" t="s">
        <v>122</v>
      </c>
      <c r="J4" s="9">
        <f>C2</f>
        <v>74.853145400593462</v>
      </c>
    </row>
    <row r="5" spans="2:10" x14ac:dyDescent="0.25">
      <c r="B5" s="1" t="s">
        <v>4</v>
      </c>
      <c r="C5" s="9">
        <f>H53</f>
        <v>70.416270400711241</v>
      </c>
      <c r="D5" s="1" t="s">
        <v>106</v>
      </c>
      <c r="E5" s="1" t="s">
        <v>103</v>
      </c>
      <c r="F5" s="14">
        <v>115000</v>
      </c>
      <c r="G5" s="11">
        <f t="shared" ref="G5:G12" si="0">F5/$F$13</f>
        <v>6.8249258160237386E-2</v>
      </c>
      <c r="H5" s="40">
        <f>(73.44*G5)</f>
        <v>5.0122255192878331</v>
      </c>
      <c r="I5" s="1" t="s">
        <v>126</v>
      </c>
      <c r="J5" s="9">
        <f>C3</f>
        <v>58.549534820824881</v>
      </c>
    </row>
    <row r="6" spans="2:10" x14ac:dyDescent="0.25">
      <c r="B6" s="1" t="s">
        <v>44</v>
      </c>
      <c r="C6" s="9">
        <f>H45</f>
        <v>76.067219167321298</v>
      </c>
      <c r="D6" s="1" t="s">
        <v>107</v>
      </c>
      <c r="E6" s="1" t="s">
        <v>114</v>
      </c>
      <c r="F6" s="14">
        <v>175000</v>
      </c>
      <c r="G6" s="11">
        <f t="shared" si="0"/>
        <v>0.10385756676557864</v>
      </c>
      <c r="H6" s="40">
        <f>86.67*G6</f>
        <v>9.0013353115727011</v>
      </c>
      <c r="I6" s="1" t="s">
        <v>132</v>
      </c>
      <c r="J6" s="9">
        <f>C4</f>
        <v>71.8</v>
      </c>
    </row>
    <row r="7" spans="2:10" x14ac:dyDescent="0.25">
      <c r="B7" s="1" t="s">
        <v>6</v>
      </c>
      <c r="C7" s="9">
        <f>'Mid Risk'!G6</f>
        <v>74.234820982514577</v>
      </c>
      <c r="D7" s="1" t="s">
        <v>108</v>
      </c>
      <c r="E7" s="1" t="s">
        <v>115</v>
      </c>
      <c r="F7" s="14">
        <v>90000</v>
      </c>
      <c r="G7" s="11">
        <f t="shared" si="0"/>
        <v>5.3412462908011868E-2</v>
      </c>
      <c r="H7" s="40">
        <f>67.24*G7</f>
        <v>3.5914540059347178</v>
      </c>
      <c r="I7" s="1" t="s">
        <v>128</v>
      </c>
      <c r="J7" s="9">
        <f>C10</f>
        <v>73.357142857142861</v>
      </c>
    </row>
    <row r="8" spans="2:10" x14ac:dyDescent="0.25">
      <c r="B8" s="1" t="s">
        <v>7</v>
      </c>
      <c r="C8" s="9">
        <f>'Mid Risk'!G19</f>
        <v>65.737609876543203</v>
      </c>
      <c r="D8" s="1" t="s">
        <v>109</v>
      </c>
      <c r="E8" s="1" t="s">
        <v>103</v>
      </c>
      <c r="F8" s="14">
        <v>40000</v>
      </c>
      <c r="G8" s="11">
        <f t="shared" si="0"/>
        <v>2.3738872403560832E-2</v>
      </c>
      <c r="H8" s="40">
        <f>(73.44*G8)</f>
        <v>1.7433827893175073</v>
      </c>
      <c r="I8" s="1" t="s">
        <v>124</v>
      </c>
      <c r="J8" s="9">
        <f>Table26[[#This Row],[Risk]]</f>
        <v>65.737609876543203</v>
      </c>
    </row>
    <row r="9" spans="2:10" x14ac:dyDescent="0.25">
      <c r="B9" s="1" t="s">
        <v>8</v>
      </c>
      <c r="C9" s="9">
        <f>'Mid Risk'!G28</f>
        <v>45.354572834994777</v>
      </c>
      <c r="D9" s="1" t="s">
        <v>110</v>
      </c>
      <c r="E9" s="1" t="s">
        <v>103</v>
      </c>
      <c r="F9" s="14">
        <v>340000</v>
      </c>
      <c r="G9" s="11">
        <f t="shared" si="0"/>
        <v>0.20178041543026706</v>
      </c>
      <c r="H9" s="40">
        <f>(73.44*G9)</f>
        <v>14.818753709198813</v>
      </c>
      <c r="I9" s="1" t="s">
        <v>136</v>
      </c>
      <c r="J9" s="9">
        <f>C11</f>
        <v>70.135273267521782</v>
      </c>
    </row>
    <row r="10" spans="2:10" x14ac:dyDescent="0.25">
      <c r="B10" s="1" t="s">
        <v>9</v>
      </c>
      <c r="C10" s="9">
        <f>'Mid Risk'!G34</f>
        <v>73.357142857142861</v>
      </c>
      <c r="D10" s="1" t="s">
        <v>111</v>
      </c>
      <c r="E10" s="1" t="s">
        <v>116</v>
      </c>
      <c r="F10" s="14">
        <v>200000</v>
      </c>
      <c r="G10" s="11">
        <f t="shared" si="0"/>
        <v>0.11869436201780416</v>
      </c>
      <c r="H10" s="40">
        <f>77.27*G10</f>
        <v>9.171513353115726</v>
      </c>
      <c r="I10" s="1" t="s">
        <v>125</v>
      </c>
      <c r="J10" s="9">
        <f>C9</f>
        <v>45.354572834994777</v>
      </c>
    </row>
    <row r="11" spans="2:10" x14ac:dyDescent="0.25">
      <c r="B11" s="1" t="s">
        <v>20</v>
      </c>
      <c r="C11" s="9">
        <f>'Mid Risk'!M9</f>
        <v>70.135273267521782</v>
      </c>
      <c r="D11" s="1" t="s">
        <v>112</v>
      </c>
      <c r="E11" s="1" t="s">
        <v>116</v>
      </c>
      <c r="F11" s="14">
        <v>230000</v>
      </c>
      <c r="G11" s="11">
        <f t="shared" si="0"/>
        <v>0.13649851632047477</v>
      </c>
      <c r="H11" s="40">
        <f>77.27*G11</f>
        <v>10.547240356083085</v>
      </c>
      <c r="I11" s="1" t="s">
        <v>150</v>
      </c>
      <c r="J11" s="9">
        <f>C13</f>
        <v>66.715699999999998</v>
      </c>
    </row>
    <row r="12" spans="2:10" x14ac:dyDescent="0.25">
      <c r="B12" s="1" t="s">
        <v>21</v>
      </c>
      <c r="C12" s="9">
        <f>'Mid Risk'!M13</f>
        <v>81</v>
      </c>
      <c r="D12" s="1" t="s">
        <v>113</v>
      </c>
      <c r="E12" s="1" t="s">
        <v>115</v>
      </c>
      <c r="F12" s="14">
        <v>165000</v>
      </c>
      <c r="G12" s="11">
        <f t="shared" si="0"/>
        <v>9.7922848664688422E-2</v>
      </c>
      <c r="H12" s="40">
        <f>67.24*G12</f>
        <v>6.5843323442136494</v>
      </c>
      <c r="I12" s="1" t="s">
        <v>142</v>
      </c>
      <c r="J12" s="9">
        <f>Table26[[#This Row],[Risk]]</f>
        <v>81</v>
      </c>
    </row>
    <row r="13" spans="2:10" x14ac:dyDescent="0.25">
      <c r="B13" s="76" t="s">
        <v>209</v>
      </c>
      <c r="C13" s="9">
        <f>'Mid Risk'!M21</f>
        <v>66.715699999999998</v>
      </c>
      <c r="D13" s="1" t="s">
        <v>58</v>
      </c>
      <c r="F13" s="14">
        <f>SUM(F4:F12)</f>
        <v>1685000</v>
      </c>
      <c r="H13" s="40">
        <f>SUM(H4:H12)</f>
        <v>74.853145400593462</v>
      </c>
      <c r="I13" s="1" t="s">
        <v>123</v>
      </c>
      <c r="J13" s="9">
        <f>C7</f>
        <v>74.234820982514577</v>
      </c>
    </row>
    <row r="14" spans="2:10" x14ac:dyDescent="0.25">
      <c r="B14" s="1" t="s">
        <v>30</v>
      </c>
      <c r="C14" s="9">
        <f>'Small Senior Risk'!G4</f>
        <v>70</v>
      </c>
      <c r="I14" s="1" t="s">
        <v>127</v>
      </c>
      <c r="J14" s="9">
        <f>Table26[[#This Row],[Risk]]</f>
        <v>70</v>
      </c>
    </row>
    <row r="15" spans="2:10" x14ac:dyDescent="0.25">
      <c r="B15" s="1" t="s">
        <v>24</v>
      </c>
      <c r="C15" s="9">
        <f>'Small Senior Risk'!G11</f>
        <v>78.540656326695853</v>
      </c>
      <c r="D15" s="1" t="s">
        <v>2</v>
      </c>
      <c r="I15" s="1" t="s">
        <v>130</v>
      </c>
      <c r="J15" s="9">
        <f>Table26[[#This Row],[Risk]]</f>
        <v>78.540656326695853</v>
      </c>
    </row>
    <row r="16" spans="2:10" x14ac:dyDescent="0.25">
      <c r="B16" s="1" t="s">
        <v>25</v>
      </c>
      <c r="C16" s="9">
        <f>'Small Senior Risk'!G18</f>
        <v>67.902739726027406</v>
      </c>
      <c r="D16" s="1" t="s">
        <v>100</v>
      </c>
      <c r="E16" s="1" t="s">
        <v>101</v>
      </c>
      <c r="F16" s="14" t="s">
        <v>104</v>
      </c>
      <c r="G16" s="11" t="s">
        <v>105</v>
      </c>
      <c r="H16" s="1" t="s">
        <v>117</v>
      </c>
      <c r="I16" s="1" t="s">
        <v>134</v>
      </c>
      <c r="J16" s="9">
        <f>Table26[[#This Row],[Risk]]</f>
        <v>67.902739726027406</v>
      </c>
    </row>
    <row r="17" spans="2:10" x14ac:dyDescent="0.25">
      <c r="B17" s="1" t="s">
        <v>26</v>
      </c>
      <c r="C17" s="9">
        <f>'Small Senior Risk'!G22</f>
        <v>61.54</v>
      </c>
      <c r="D17" s="1" t="s">
        <v>118</v>
      </c>
      <c r="E17" s="1" t="s">
        <v>119</v>
      </c>
      <c r="F17" s="14">
        <f>504+1300+963</f>
        <v>2767</v>
      </c>
      <c r="G17" s="11">
        <f>F17/$F$28</f>
        <v>0.37417173766058148</v>
      </c>
      <c r="H17" s="1">
        <f>82.56*G17</f>
        <v>30.89161866125761</v>
      </c>
      <c r="I17" s="1" t="s">
        <v>138</v>
      </c>
      <c r="J17" s="9">
        <f>Table26[[#This Row],[Risk]]</f>
        <v>61.54</v>
      </c>
    </row>
    <row r="18" spans="2:10" x14ac:dyDescent="0.25">
      <c r="B18" s="1" t="s">
        <v>27</v>
      </c>
      <c r="C18" s="9">
        <f>'Small Senior Risk'!G29</f>
        <v>73.572779317647061</v>
      </c>
      <c r="D18" s="1" t="s">
        <v>166</v>
      </c>
      <c r="E18" s="1" t="s">
        <v>167</v>
      </c>
      <c r="F18" s="14">
        <v>213</v>
      </c>
      <c r="G18" s="11">
        <f t="shared" ref="G18:G27" si="1">F18/$F$28</f>
        <v>2.8803245436105476E-2</v>
      </c>
      <c r="H18" s="1">
        <f>77.17*G18</f>
        <v>2.2227464503042595</v>
      </c>
      <c r="I18" s="1" t="s">
        <v>144</v>
      </c>
      <c r="J18" s="9">
        <f>Table26[[#This Row],[Risk]]</f>
        <v>73.572779317647061</v>
      </c>
    </row>
    <row r="19" spans="2:10" x14ac:dyDescent="0.25">
      <c r="B19" s="1" t="s">
        <v>28</v>
      </c>
      <c r="C19" s="9">
        <f>'Small Senior Risk'!M6</f>
        <v>63.253588516746404</v>
      </c>
      <c r="D19" s="1" t="s">
        <v>120</v>
      </c>
      <c r="E19" s="1" t="s">
        <v>168</v>
      </c>
      <c r="F19" s="14">
        <v>983</v>
      </c>
      <c r="G19" s="11">
        <f t="shared" si="1"/>
        <v>0.13292765382014876</v>
      </c>
      <c r="H19" s="1">
        <f>21.43*G19</f>
        <v>2.8486396213657881</v>
      </c>
      <c r="I19" s="1" t="s">
        <v>143</v>
      </c>
      <c r="J19" s="9">
        <f>Table26[[#This Row],[Risk]]</f>
        <v>63.253588516746404</v>
      </c>
    </row>
    <row r="20" spans="2:10" x14ac:dyDescent="0.25">
      <c r="B20" s="1" t="s">
        <v>29</v>
      </c>
      <c r="C20" s="9">
        <f>'Small Senior Risk'!M10</f>
        <v>67.239999999999995</v>
      </c>
      <c r="D20" s="1" t="s">
        <v>169</v>
      </c>
      <c r="E20" s="75" t="s">
        <v>194</v>
      </c>
      <c r="F20" s="14">
        <v>548</v>
      </c>
      <c r="G20" s="11">
        <f t="shared" si="1"/>
        <v>7.4104124408384042E-2</v>
      </c>
      <c r="H20" s="1">
        <f>49.16*G20</f>
        <v>3.6429587559161591</v>
      </c>
      <c r="I20" s="1" t="s">
        <v>147</v>
      </c>
      <c r="J20" s="9">
        <f>Table26[[#This Row],[Risk]]</f>
        <v>67.239999999999995</v>
      </c>
    </row>
    <row r="21" spans="2:10" x14ac:dyDescent="0.25">
      <c r="B21" s="1" t="s">
        <v>36</v>
      </c>
      <c r="C21" s="9">
        <f>'Junior Risk'!H5</f>
        <v>58.340756756756761</v>
      </c>
      <c r="D21" s="1" t="s">
        <v>170</v>
      </c>
      <c r="E21" s="1" t="s">
        <v>171</v>
      </c>
      <c r="F21" s="14">
        <v>715</v>
      </c>
      <c r="G21" s="11">
        <f t="shared" si="1"/>
        <v>9.6686950642325895E-2</v>
      </c>
      <c r="H21" s="1">
        <f>35.71*G21</f>
        <v>3.4526910074374579</v>
      </c>
      <c r="I21" s="1" t="s">
        <v>129</v>
      </c>
      <c r="J21" s="9">
        <f>Table26[[#This Row],[Risk]]</f>
        <v>58.340756756756761</v>
      </c>
    </row>
    <row r="22" spans="2:10" x14ac:dyDescent="0.25">
      <c r="B22" s="1" t="s">
        <v>33</v>
      </c>
      <c r="C22" s="9">
        <f>'Junior Risk'!H11</f>
        <v>63.12</v>
      </c>
      <c r="D22" s="1" t="s">
        <v>173</v>
      </c>
      <c r="E22" s="1" t="s">
        <v>172</v>
      </c>
      <c r="F22" s="14">
        <v>273</v>
      </c>
      <c r="G22" s="11">
        <f t="shared" si="1"/>
        <v>3.691683569979716E-2</v>
      </c>
      <c r="H22" s="1">
        <f>65*G22</f>
        <v>2.3995943204868153</v>
      </c>
      <c r="I22" s="1" t="s">
        <v>131</v>
      </c>
      <c r="J22" s="9">
        <f>Table26[[#This Row],[Risk]]</f>
        <v>63.12</v>
      </c>
    </row>
    <row r="23" spans="2:10" x14ac:dyDescent="0.25">
      <c r="B23" s="1" t="s">
        <v>40</v>
      </c>
      <c r="C23" s="9">
        <f>'Junior Risk'!H14</f>
        <v>77.17</v>
      </c>
      <c r="D23" s="1" t="s">
        <v>174</v>
      </c>
      <c r="E23" s="1" t="s">
        <v>179</v>
      </c>
      <c r="F23" s="14">
        <v>813</v>
      </c>
      <c r="G23" s="11">
        <f t="shared" si="1"/>
        <v>0.10993914807302231</v>
      </c>
      <c r="H23" s="1">
        <f>50*G23</f>
        <v>5.4969574036511153</v>
      </c>
      <c r="I23" s="1" t="s">
        <v>133</v>
      </c>
      <c r="J23" s="9">
        <f>Table26[[#This Row],[Risk]]</f>
        <v>77.17</v>
      </c>
    </row>
    <row r="24" spans="2:10" x14ac:dyDescent="0.25">
      <c r="B24" s="1" t="s">
        <v>34</v>
      </c>
      <c r="C24" s="9">
        <f>'Junior Risk'!H18</f>
        <v>65</v>
      </c>
      <c r="D24" s="1" t="s">
        <v>175</v>
      </c>
      <c r="E24" s="1" t="s">
        <v>178</v>
      </c>
      <c r="F24" s="14">
        <v>334</v>
      </c>
      <c r="G24" s="11">
        <f t="shared" si="1"/>
        <v>4.5165652467883705E-2</v>
      </c>
      <c r="H24" s="1">
        <f>35.71*G24</f>
        <v>1.6128654496281272</v>
      </c>
      <c r="I24" s="1" t="s">
        <v>135</v>
      </c>
      <c r="J24" s="9">
        <f>Table26[[#This Row],[Risk]]</f>
        <v>65</v>
      </c>
    </row>
    <row r="25" spans="2:10" x14ac:dyDescent="0.25">
      <c r="B25" s="1" t="s">
        <v>35</v>
      </c>
      <c r="C25" s="9">
        <f>'Junior Risk'!H26</f>
        <v>69.291951219512185</v>
      </c>
      <c r="D25" s="1" t="s">
        <v>176</v>
      </c>
      <c r="E25" s="1" t="s">
        <v>178</v>
      </c>
      <c r="F25" s="14">
        <v>37</v>
      </c>
      <c r="G25" s="11">
        <f t="shared" si="1"/>
        <v>5.0033806626098715E-3</v>
      </c>
      <c r="H25" s="1">
        <f>35.71*G25</f>
        <v>0.17867072346179852</v>
      </c>
      <c r="I25" s="1" t="s">
        <v>139</v>
      </c>
      <c r="J25" s="9">
        <f>Table26[[#This Row],[Risk]]</f>
        <v>69.291951219512185</v>
      </c>
    </row>
    <row r="26" spans="2:10" x14ac:dyDescent="0.25">
      <c r="B26" s="1" t="s">
        <v>37</v>
      </c>
      <c r="C26" s="9">
        <f>'Junior Risk'!H31</f>
        <v>79.146907216494839</v>
      </c>
      <c r="D26" s="1" t="s">
        <v>177</v>
      </c>
      <c r="E26" s="1" t="s">
        <v>178</v>
      </c>
      <c r="F26" s="14">
        <v>115</v>
      </c>
      <c r="G26" s="11">
        <f t="shared" si="1"/>
        <v>1.555104800540906E-2</v>
      </c>
      <c r="H26" s="1">
        <f>35.71*G26</f>
        <v>0.55532792427315758</v>
      </c>
      <c r="I26" s="1" t="s">
        <v>140</v>
      </c>
      <c r="J26" s="9">
        <f>Table26[[#This Row],[Risk]]</f>
        <v>79.146907216494839</v>
      </c>
    </row>
    <row r="27" spans="2:10" x14ac:dyDescent="0.25">
      <c r="B27" s="1" t="s">
        <v>38</v>
      </c>
      <c r="C27" s="9">
        <f>'Junior Risk'!O5</f>
        <v>69.176892253511355</v>
      </c>
      <c r="D27" s="1" t="s">
        <v>180</v>
      </c>
      <c r="E27" s="1" t="s">
        <v>181</v>
      </c>
      <c r="F27" s="14">
        <v>597</v>
      </c>
      <c r="G27" s="11">
        <f t="shared" si="1"/>
        <v>8.073022312373225E-2</v>
      </c>
      <c r="H27" s="1">
        <f>65*G27</f>
        <v>5.2474645030425959</v>
      </c>
      <c r="I27" s="1" t="s">
        <v>145</v>
      </c>
      <c r="J27" s="9">
        <f>Table26[[#This Row],[Risk]]</f>
        <v>69.176892253511355</v>
      </c>
    </row>
    <row r="28" spans="2:10" x14ac:dyDescent="0.25">
      <c r="B28" s="1" t="s">
        <v>41</v>
      </c>
      <c r="C28" s="9">
        <f>'Junior Risk'!O9</f>
        <v>77.27</v>
      </c>
      <c r="D28" s="1" t="s">
        <v>58</v>
      </c>
      <c r="F28" s="14">
        <f>SUM(F17:F27)</f>
        <v>7395</v>
      </c>
      <c r="H28" s="9">
        <f>SUM(H17:H27)</f>
        <v>58.549534820824881</v>
      </c>
      <c r="I28" s="1" t="s">
        <v>146</v>
      </c>
      <c r="J28" s="9">
        <f>Table26[[#This Row],[Risk]]</f>
        <v>77.27</v>
      </c>
    </row>
    <row r="29" spans="2:10" x14ac:dyDescent="0.25">
      <c r="B29" s="1" t="s">
        <v>39</v>
      </c>
      <c r="C29" s="9">
        <f>'Junior Risk'!O13</f>
        <v>75</v>
      </c>
      <c r="I29" s="1" t="s">
        <v>148</v>
      </c>
      <c r="J29" s="9">
        <f>Table26[[#This Row],[Risk]]</f>
        <v>75</v>
      </c>
    </row>
    <row r="30" spans="2:10" x14ac:dyDescent="0.25">
      <c r="B30" s="1" t="s">
        <v>42</v>
      </c>
      <c r="C30" s="9">
        <f>'Junior Risk'!O17</f>
        <v>77.17</v>
      </c>
      <c r="D30" s="1" t="s">
        <v>182</v>
      </c>
      <c r="I30" s="1" t="s">
        <v>149</v>
      </c>
      <c r="J30" s="9">
        <f>Table26[[#This Row],[Risk]]</f>
        <v>77.17</v>
      </c>
    </row>
    <row r="31" spans="2:10" x14ac:dyDescent="0.25">
      <c r="D31" s="1" t="s">
        <v>100</v>
      </c>
      <c r="E31" s="1" t="s">
        <v>101</v>
      </c>
      <c r="F31" s="14" t="s">
        <v>104</v>
      </c>
      <c r="G31" s="11" t="s">
        <v>105</v>
      </c>
      <c r="H31" s="1" t="s">
        <v>117</v>
      </c>
    </row>
    <row r="32" spans="2:10" x14ac:dyDescent="0.25">
      <c r="D32" s="1" t="s">
        <v>183</v>
      </c>
      <c r="E32" s="1" t="s">
        <v>188</v>
      </c>
      <c r="F32" s="14">
        <v>285</v>
      </c>
      <c r="G32" s="11">
        <f>F32/$F$45</f>
        <v>4.4776119402985072E-2</v>
      </c>
      <c r="H32" s="1">
        <f>60*G32</f>
        <v>2.6865671641791042</v>
      </c>
    </row>
    <row r="33" spans="4:8" x14ac:dyDescent="0.25">
      <c r="D33" s="1" t="s">
        <v>184</v>
      </c>
      <c r="E33" s="1" t="s">
        <v>103</v>
      </c>
      <c r="F33" s="14">
        <v>355</v>
      </c>
      <c r="G33" s="11">
        <f t="shared" ref="G33:G44" si="2">F33/$F$45</f>
        <v>5.5773762765121762E-2</v>
      </c>
      <c r="H33" s="1">
        <f>73.44*G33</f>
        <v>4.0960251374705416</v>
      </c>
    </row>
    <row r="34" spans="4:8" x14ac:dyDescent="0.25">
      <c r="D34" s="1" t="s">
        <v>185</v>
      </c>
      <c r="E34" s="1" t="s">
        <v>115</v>
      </c>
      <c r="F34" s="14">
        <v>575</v>
      </c>
      <c r="G34" s="11">
        <f t="shared" si="2"/>
        <v>9.033778476040849E-2</v>
      </c>
      <c r="H34" s="1">
        <f>67.24*G34</f>
        <v>6.0743126472898661</v>
      </c>
    </row>
    <row r="35" spans="4:8" x14ac:dyDescent="0.25">
      <c r="D35" s="1" t="s">
        <v>186</v>
      </c>
      <c r="E35" s="1" t="s">
        <v>167</v>
      </c>
      <c r="F35" s="14">
        <v>325</v>
      </c>
      <c r="G35" s="11">
        <f t="shared" si="2"/>
        <v>5.1060487038491753E-2</v>
      </c>
      <c r="H35" s="1">
        <f>77.17*G35</f>
        <v>3.9403377847604086</v>
      </c>
    </row>
    <row r="36" spans="4:8" x14ac:dyDescent="0.25">
      <c r="D36" s="1" t="s">
        <v>187</v>
      </c>
      <c r="E36" s="1" t="s">
        <v>167</v>
      </c>
      <c r="F36" s="14">
        <v>140</v>
      </c>
      <c r="G36" s="11">
        <f t="shared" si="2"/>
        <v>2.199528672427337E-2</v>
      </c>
      <c r="H36" s="1">
        <f>77.17*G36</f>
        <v>1.697376276512176</v>
      </c>
    </row>
    <row r="37" spans="4:8" x14ac:dyDescent="0.25">
      <c r="D37" s="1" t="s">
        <v>189</v>
      </c>
      <c r="E37" s="75" t="s">
        <v>194</v>
      </c>
      <c r="F37" s="14">
        <v>405</v>
      </c>
      <c r="G37" s="11">
        <f t="shared" si="2"/>
        <v>6.3629222309505101E-2</v>
      </c>
      <c r="H37" s="1">
        <f>49.16*G37</f>
        <v>3.1280125687352704</v>
      </c>
    </row>
    <row r="38" spans="4:8" x14ac:dyDescent="0.25">
      <c r="D38" s="1" t="s">
        <v>190</v>
      </c>
      <c r="E38" s="1" t="s">
        <v>195</v>
      </c>
      <c r="F38" s="14">
        <v>415</v>
      </c>
      <c r="G38" s="11">
        <f t="shared" si="2"/>
        <v>6.520031421838178E-2</v>
      </c>
      <c r="H38" s="1">
        <f>80.56*G38</f>
        <v>5.2525373134328364</v>
      </c>
    </row>
    <row r="39" spans="4:8" x14ac:dyDescent="0.25">
      <c r="D39" s="1" t="s">
        <v>191</v>
      </c>
      <c r="E39" s="75" t="s">
        <v>196</v>
      </c>
      <c r="F39" s="14">
        <v>465</v>
      </c>
      <c r="G39" s="11">
        <f t="shared" si="2"/>
        <v>7.3055773762765119E-2</v>
      </c>
      <c r="H39" s="1">
        <f>70*G39</f>
        <v>5.113904163393558</v>
      </c>
    </row>
    <row r="40" spans="4:8" x14ac:dyDescent="0.25">
      <c r="D40" s="1" t="s">
        <v>192</v>
      </c>
      <c r="E40" s="75" t="s">
        <v>197</v>
      </c>
      <c r="F40" s="14">
        <v>700</v>
      </c>
      <c r="G40" s="11">
        <f t="shared" si="2"/>
        <v>0.10997643362136685</v>
      </c>
      <c r="H40" s="1">
        <f>91.43*G40</f>
        <v>10.055145326001572</v>
      </c>
    </row>
    <row r="41" spans="4:8" x14ac:dyDescent="0.25">
      <c r="D41" s="1" t="s">
        <v>193</v>
      </c>
      <c r="E41" s="75" t="s">
        <v>197</v>
      </c>
      <c r="F41" s="14">
        <v>480</v>
      </c>
      <c r="G41" s="11">
        <f t="shared" si="2"/>
        <v>7.5412411626080131E-2</v>
      </c>
      <c r="H41" s="1">
        <f>91.43*G41</f>
        <v>6.894956794972507</v>
      </c>
    </row>
    <row r="42" spans="4:8" x14ac:dyDescent="0.25">
      <c r="D42" s="1" t="s">
        <v>118</v>
      </c>
      <c r="E42" s="1" t="s">
        <v>119</v>
      </c>
      <c r="F42" s="14">
        <v>1375</v>
      </c>
      <c r="G42" s="11">
        <f t="shared" si="2"/>
        <v>0.21602513747054203</v>
      </c>
      <c r="H42" s="1">
        <f>82.56*G42</f>
        <v>17.835035349567949</v>
      </c>
    </row>
    <row r="43" spans="4:8" x14ac:dyDescent="0.25">
      <c r="D43" s="1" t="s">
        <v>198</v>
      </c>
      <c r="E43" s="1" t="s">
        <v>200</v>
      </c>
      <c r="F43" s="14">
        <v>480</v>
      </c>
      <c r="G43" s="11">
        <f t="shared" si="2"/>
        <v>7.5412411626080131E-2</v>
      </c>
      <c r="H43" s="1">
        <f>70*G43</f>
        <v>5.2788688138256088</v>
      </c>
    </row>
    <row r="44" spans="4:8" x14ac:dyDescent="0.25">
      <c r="D44" s="1" t="s">
        <v>199</v>
      </c>
      <c r="E44" s="1" t="s">
        <v>200</v>
      </c>
      <c r="F44" s="14">
        <v>365</v>
      </c>
      <c r="G44" s="11">
        <f t="shared" si="2"/>
        <v>5.7344854673998427E-2</v>
      </c>
      <c r="H44" s="1">
        <f>70*G44</f>
        <v>4.01413982717989</v>
      </c>
    </row>
    <row r="45" spans="4:8" x14ac:dyDescent="0.25">
      <c r="D45" s="1" t="s">
        <v>58</v>
      </c>
      <c r="F45" s="14">
        <f>SUM(F32:F44)</f>
        <v>6365</v>
      </c>
      <c r="H45" s="1">
        <f>SUM(H32:H44)</f>
        <v>76.067219167321298</v>
      </c>
    </row>
    <row r="47" spans="4:8" x14ac:dyDescent="0.25">
      <c r="D47" s="1" t="s">
        <v>4</v>
      </c>
    </row>
    <row r="48" spans="4:8" x14ac:dyDescent="0.25">
      <c r="D48" s="1" t="s">
        <v>100</v>
      </c>
      <c r="E48" s="1" t="s">
        <v>101</v>
      </c>
      <c r="F48" s="14" t="s">
        <v>104</v>
      </c>
      <c r="G48" s="11" t="s">
        <v>105</v>
      </c>
      <c r="H48" s="1" t="s">
        <v>117</v>
      </c>
    </row>
    <row r="49" spans="4:8" x14ac:dyDescent="0.25">
      <c r="D49" s="1" t="s">
        <v>201</v>
      </c>
      <c r="E49" s="1" t="s">
        <v>197</v>
      </c>
      <c r="F49" s="14">
        <v>619.4</v>
      </c>
      <c r="G49" s="11">
        <f>F49/$F$53</f>
        <v>0.39334476408204733</v>
      </c>
      <c r="H49" s="1">
        <f>60*G49</f>
        <v>23.60068584492284</v>
      </c>
    </row>
    <row r="50" spans="4:8" x14ac:dyDescent="0.25">
      <c r="D50" s="1" t="s">
        <v>202</v>
      </c>
      <c r="E50" s="1" t="s">
        <v>167</v>
      </c>
      <c r="F50" s="14">
        <v>241.3</v>
      </c>
      <c r="G50" s="11">
        <f>F50/$F$53</f>
        <v>0.15323553692766875</v>
      </c>
      <c r="H50" s="1">
        <f>77.17*G50</f>
        <v>11.825186384708198</v>
      </c>
    </row>
    <row r="51" spans="4:8" x14ac:dyDescent="0.25">
      <c r="D51" s="1" t="s">
        <v>203</v>
      </c>
      <c r="E51" s="1" t="s">
        <v>167</v>
      </c>
      <c r="F51" s="14">
        <v>114</v>
      </c>
      <c r="G51" s="11">
        <f>F51/$F$53</f>
        <v>7.2394741855591541E-2</v>
      </c>
      <c r="H51" s="1">
        <f>77.17*G51</f>
        <v>5.5867022289959989</v>
      </c>
    </row>
    <row r="52" spans="4:8" x14ac:dyDescent="0.25">
      <c r="D52" s="1" t="s">
        <v>227</v>
      </c>
      <c r="E52" s="1" t="s">
        <v>167</v>
      </c>
      <c r="F52" s="14">
        <v>600</v>
      </c>
      <c r="G52" s="11">
        <f>F52/$F$53</f>
        <v>0.38102495713469231</v>
      </c>
      <c r="H52" s="1">
        <f>77.17*G52</f>
        <v>29.403695942084205</v>
      </c>
    </row>
    <row r="53" spans="4:8" x14ac:dyDescent="0.25">
      <c r="D53" s="1" t="s">
        <v>58</v>
      </c>
      <c r="F53" s="14">
        <f>SUM(F49:F52)</f>
        <v>1574.7</v>
      </c>
      <c r="H53" s="1">
        <f>SUM(H49:H52)</f>
        <v>70.416270400711241</v>
      </c>
    </row>
    <row r="55" spans="4:8" x14ac:dyDescent="0.25">
      <c r="D55" s="1" t="s">
        <v>204</v>
      </c>
    </row>
    <row r="56" spans="4:8" x14ac:dyDescent="0.25">
      <c r="D56" s="1" t="s">
        <v>100</v>
      </c>
      <c r="E56" s="1" t="s">
        <v>101</v>
      </c>
      <c r="F56" s="14" t="s">
        <v>104</v>
      </c>
      <c r="G56" s="11" t="s">
        <v>105</v>
      </c>
      <c r="H56" s="1" t="s">
        <v>117</v>
      </c>
    </row>
    <row r="57" spans="4:8" x14ac:dyDescent="0.25">
      <c r="E57" s="1" t="s">
        <v>205</v>
      </c>
      <c r="G57" s="11">
        <v>0.44</v>
      </c>
      <c r="H57" s="1">
        <f>70*G57</f>
        <v>30.8</v>
      </c>
    </row>
    <row r="58" spans="4:8" x14ac:dyDescent="0.25">
      <c r="E58" s="1" t="s">
        <v>206</v>
      </c>
      <c r="G58" s="11">
        <v>0.16</v>
      </c>
      <c r="H58" s="1">
        <f>60*G58</f>
        <v>9.6</v>
      </c>
    </row>
    <row r="59" spans="4:8" x14ac:dyDescent="0.25">
      <c r="E59" s="1" t="s">
        <v>208</v>
      </c>
      <c r="G59" s="11">
        <v>0.2</v>
      </c>
      <c r="H59" s="1">
        <f>82*G59</f>
        <v>16.400000000000002</v>
      </c>
    </row>
    <row r="60" spans="4:8" x14ac:dyDescent="0.25">
      <c r="E60" s="1" t="s">
        <v>207</v>
      </c>
      <c r="G60" s="11">
        <v>0.2</v>
      </c>
      <c r="H60" s="1">
        <f>75*G60</f>
        <v>15</v>
      </c>
    </row>
    <row r="61" spans="4:8" x14ac:dyDescent="0.25">
      <c r="H61" s="1">
        <f>SUM(H57:H60)</f>
        <v>71.8</v>
      </c>
    </row>
  </sheetData>
  <pageMargins left="0.7" right="0.7" top="0.75" bottom="0.75" header="0.3" footer="0.3"/>
  <tableParts count="2">
    <tablePart r:id="rId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6A28-AB2A-4927-8510-874CD204B91C}">
  <sheetPr codeName="Sheet19">
    <tabColor theme="7"/>
  </sheetPr>
  <dimension ref="A1:O34"/>
  <sheetViews>
    <sheetView workbookViewId="0">
      <selection activeCell="L8" sqref="L8"/>
    </sheetView>
  </sheetViews>
  <sheetFormatPr defaultRowHeight="15" x14ac:dyDescent="0.25"/>
  <cols>
    <col min="1" max="1" width="20.85546875" bestFit="1" customWidth="1"/>
    <col min="3" max="3" width="17.7109375" bestFit="1" customWidth="1"/>
    <col min="4" max="4" width="14.85546875" bestFit="1" customWidth="1"/>
    <col min="5" max="5" width="15.140625" bestFit="1" customWidth="1"/>
    <col min="6" max="6" width="10.140625" bestFit="1" customWidth="1"/>
    <col min="7" max="7" width="13.5703125" bestFit="1" customWidth="1"/>
    <col min="9" max="9" width="10.85546875" bestFit="1" customWidth="1"/>
    <col min="11" max="11" width="13.7109375" bestFit="1" customWidth="1"/>
    <col min="12" max="12" width="10.140625" bestFit="1" customWidth="1"/>
    <col min="13" max="13" width="13.5703125" bestFit="1" customWidth="1"/>
  </cols>
  <sheetData>
    <row r="1" spans="1:15" x14ac:dyDescent="0.25">
      <c r="A1" s="1" t="s">
        <v>6</v>
      </c>
      <c r="C1" t="s">
        <v>6</v>
      </c>
      <c r="I1" t="s">
        <v>228</v>
      </c>
    </row>
    <row r="2" spans="1:15" x14ac:dyDescent="0.25">
      <c r="A2" s="1" t="s">
        <v>7</v>
      </c>
      <c r="C2" t="s">
        <v>100</v>
      </c>
      <c r="D2" t="s">
        <v>101</v>
      </c>
      <c r="E2" t="s">
        <v>104</v>
      </c>
      <c r="F2" t="s">
        <v>105</v>
      </c>
      <c r="G2" t="s">
        <v>117</v>
      </c>
      <c r="I2" t="s">
        <v>100</v>
      </c>
      <c r="J2" t="s">
        <v>101</v>
      </c>
      <c r="K2" t="s">
        <v>104</v>
      </c>
      <c r="L2" t="s">
        <v>105</v>
      </c>
      <c r="M2" t="s">
        <v>117</v>
      </c>
    </row>
    <row r="3" spans="1:15" x14ac:dyDescent="0.25">
      <c r="A3" s="1" t="s">
        <v>8</v>
      </c>
      <c r="C3" t="s">
        <v>210</v>
      </c>
      <c r="D3" t="s">
        <v>167</v>
      </c>
      <c r="E3">
        <v>188</v>
      </c>
      <c r="F3" s="53">
        <f>E3/$E$6</f>
        <v>0.39134054954204833</v>
      </c>
      <c r="G3">
        <f>77.17*F3</f>
        <v>30.19975020815987</v>
      </c>
      <c r="J3" t="s">
        <v>218</v>
      </c>
      <c r="K3">
        <v>620</v>
      </c>
      <c r="L3" s="53">
        <f t="shared" ref="L3:L8" si="0">K3/$K$9</f>
        <v>0.24524084430885004</v>
      </c>
      <c r="M3">
        <f>59.09*L3</f>
        <v>14.49128149020995</v>
      </c>
    </row>
    <row r="4" spans="1:15" x14ac:dyDescent="0.25">
      <c r="A4" s="1" t="s">
        <v>9</v>
      </c>
      <c r="C4" t="s">
        <v>211</v>
      </c>
      <c r="D4" t="s">
        <v>167</v>
      </c>
      <c r="E4">
        <v>150.4</v>
      </c>
      <c r="F4" s="53">
        <f>E4/$E$6</f>
        <v>0.31307243963363868</v>
      </c>
      <c r="G4">
        <f>77.17*F4</f>
        <v>24.159800166527898</v>
      </c>
      <c r="J4" t="s">
        <v>229</v>
      </c>
      <c r="K4">
        <v>391</v>
      </c>
      <c r="L4" s="53">
        <f t="shared" si="0"/>
        <v>0.15465995181412961</v>
      </c>
      <c r="M4">
        <f>65*L4</f>
        <v>10.052896867918426</v>
      </c>
    </row>
    <row r="5" spans="1:15" x14ac:dyDescent="0.25">
      <c r="A5" s="1" t="s">
        <v>20</v>
      </c>
      <c r="C5" t="s">
        <v>212</v>
      </c>
      <c r="D5" t="s">
        <v>115</v>
      </c>
      <c r="E5">
        <v>142</v>
      </c>
      <c r="F5" s="53">
        <f>E5/$E$6</f>
        <v>0.2955870108243131</v>
      </c>
      <c r="G5">
        <f>67.24*F5</f>
        <v>19.87527060782681</v>
      </c>
      <c r="J5" t="s">
        <v>230</v>
      </c>
      <c r="K5">
        <v>527.34299999999996</v>
      </c>
      <c r="L5" s="53">
        <f t="shared" si="0"/>
        <v>0.20859039122639014</v>
      </c>
      <c r="M5">
        <f>70*L5</f>
        <v>14.601327385847309</v>
      </c>
      <c r="O5">
        <f>AVERAGE(61.11,34.62,47.06,29.17,50,50,27.78,60,73.53,58.33)</f>
        <v>49.16</v>
      </c>
    </row>
    <row r="6" spans="1:15" x14ac:dyDescent="0.25">
      <c r="A6" s="1" t="s">
        <v>21</v>
      </c>
      <c r="E6">
        <f>SUM(E3:E5)</f>
        <v>480.4</v>
      </c>
      <c r="G6">
        <f>SUM(G3:G5)</f>
        <v>74.234820982514577</v>
      </c>
      <c r="J6" t="s">
        <v>231</v>
      </c>
      <c r="K6">
        <f>200.263+361.664+187.961</f>
        <v>749.88800000000003</v>
      </c>
      <c r="L6" s="53">
        <f t="shared" si="0"/>
        <v>0.29661801009205635</v>
      </c>
      <c r="M6">
        <f>82*L6</f>
        <v>24.322676827548619</v>
      </c>
    </row>
    <row r="7" spans="1:15" x14ac:dyDescent="0.25">
      <c r="A7" s="1" t="s">
        <v>22</v>
      </c>
      <c r="J7" t="s">
        <v>232</v>
      </c>
      <c r="K7">
        <v>38.6</v>
      </c>
      <c r="L7" s="53">
        <f t="shared" si="0"/>
        <v>1.5268220306970342E-2</v>
      </c>
      <c r="M7">
        <f>71.62*L7</f>
        <v>1.093509938385216</v>
      </c>
    </row>
    <row r="8" spans="1:15" x14ac:dyDescent="0.25">
      <c r="A8" s="76" t="s">
        <v>209</v>
      </c>
      <c r="C8" t="s">
        <v>213</v>
      </c>
      <c r="J8" t="s">
        <v>200</v>
      </c>
      <c r="K8">
        <v>201.29599999999999</v>
      </c>
      <c r="L8" s="53">
        <f t="shared" si="0"/>
        <v>7.9622582251603666E-2</v>
      </c>
      <c r="M8">
        <f>70*L8</f>
        <v>5.5735807576122562</v>
      </c>
    </row>
    <row r="9" spans="1:15" x14ac:dyDescent="0.25">
      <c r="C9" t="s">
        <v>100</v>
      </c>
      <c r="D9" t="s">
        <v>101</v>
      </c>
      <c r="E9" t="s">
        <v>104</v>
      </c>
      <c r="F9" t="s">
        <v>105</v>
      </c>
      <c r="G9" t="s">
        <v>117</v>
      </c>
      <c r="J9" t="s">
        <v>220</v>
      </c>
      <c r="K9">
        <f>SUM(K3:K8)</f>
        <v>2528.1269999999995</v>
      </c>
      <c r="M9">
        <f>SUM(M3:M8)</f>
        <v>70.135273267521782</v>
      </c>
    </row>
    <row r="10" spans="1:15" x14ac:dyDescent="0.25">
      <c r="D10" t="s">
        <v>214</v>
      </c>
      <c r="E10">
        <v>178</v>
      </c>
      <c r="F10" s="53">
        <f>E10/$E$19</f>
        <v>8.7901234567901235E-2</v>
      </c>
      <c r="G10">
        <f>40*F10</f>
        <v>3.5160493827160493</v>
      </c>
    </row>
    <row r="11" spans="1:15" x14ac:dyDescent="0.25">
      <c r="D11" t="s">
        <v>200</v>
      </c>
      <c r="E11">
        <v>141</v>
      </c>
      <c r="F11" s="53">
        <f t="shared" ref="F11:F18" si="1">E11/$E$19</f>
        <v>6.9629629629629625E-2</v>
      </c>
      <c r="G11">
        <f>70*F11</f>
        <v>4.8740740740740733</v>
      </c>
      <c r="I11" t="s">
        <v>233</v>
      </c>
    </row>
    <row r="12" spans="1:15" x14ac:dyDescent="0.25">
      <c r="D12" t="s">
        <v>215</v>
      </c>
      <c r="E12">
        <v>109</v>
      </c>
      <c r="F12" s="53">
        <f t="shared" si="1"/>
        <v>5.3827160493827159E-2</v>
      </c>
      <c r="G12">
        <f>100*F12</f>
        <v>5.382716049382716</v>
      </c>
      <c r="I12" t="s">
        <v>100</v>
      </c>
      <c r="J12" t="s">
        <v>101</v>
      </c>
      <c r="K12" t="s">
        <v>104</v>
      </c>
      <c r="L12" t="s">
        <v>105</v>
      </c>
      <c r="M12" t="s">
        <v>117</v>
      </c>
    </row>
    <row r="13" spans="1:15" x14ac:dyDescent="0.25">
      <c r="D13" t="s">
        <v>171</v>
      </c>
      <c r="E13">
        <f>11+26</f>
        <v>37</v>
      </c>
      <c r="F13" s="53">
        <f t="shared" si="1"/>
        <v>1.8271604938271607E-2</v>
      </c>
      <c r="G13">
        <f>35.71*F13</f>
        <v>0.65247901234567907</v>
      </c>
      <c r="J13" t="s">
        <v>225</v>
      </c>
      <c r="L13" s="45">
        <v>1</v>
      </c>
      <c r="M13">
        <v>81</v>
      </c>
    </row>
    <row r="14" spans="1:15" x14ac:dyDescent="0.25">
      <c r="D14" t="s">
        <v>216</v>
      </c>
      <c r="E14">
        <v>361</v>
      </c>
      <c r="F14" s="53">
        <f t="shared" si="1"/>
        <v>0.1782716049382716</v>
      </c>
      <c r="G14">
        <f>35.71*F14</f>
        <v>6.3660790123456792</v>
      </c>
    </row>
    <row r="15" spans="1:15" x14ac:dyDescent="0.25">
      <c r="D15" t="s">
        <v>197</v>
      </c>
      <c r="E15">
        <f>298+118+180</f>
        <v>596</v>
      </c>
      <c r="F15" s="53">
        <f t="shared" si="1"/>
        <v>0.29432098765432096</v>
      </c>
      <c r="G15">
        <f>91.43*F15</f>
        <v>26.909767901234567</v>
      </c>
      <c r="I15" t="s">
        <v>234</v>
      </c>
    </row>
    <row r="16" spans="1:15" x14ac:dyDescent="0.25">
      <c r="D16" t="s">
        <v>217</v>
      </c>
      <c r="E16">
        <v>117</v>
      </c>
      <c r="F16" s="53">
        <f t="shared" si="1"/>
        <v>5.7777777777777775E-2</v>
      </c>
      <c r="G16">
        <f>49.16*F16</f>
        <v>2.8403555555555551</v>
      </c>
      <c r="I16" t="s">
        <v>100</v>
      </c>
      <c r="J16" t="s">
        <v>101</v>
      </c>
      <c r="K16" t="s">
        <v>104</v>
      </c>
      <c r="L16" t="s">
        <v>105</v>
      </c>
      <c r="M16" t="s">
        <v>117</v>
      </c>
    </row>
    <row r="17" spans="3:13" x14ac:dyDescent="0.25">
      <c r="D17" t="s">
        <v>218</v>
      </c>
      <c r="E17">
        <f>188+72</f>
        <v>260</v>
      </c>
      <c r="F17" s="53">
        <f t="shared" si="1"/>
        <v>0.12839506172839507</v>
      </c>
      <c r="G17">
        <f>59.09*F17</f>
        <v>7.5868641975308648</v>
      </c>
      <c r="J17" t="s">
        <v>235</v>
      </c>
      <c r="L17" s="53">
        <v>0.3</v>
      </c>
      <c r="M17">
        <f>71.62*L17</f>
        <v>21.486000000000001</v>
      </c>
    </row>
    <row r="18" spans="3:13" x14ac:dyDescent="0.25">
      <c r="D18" t="s">
        <v>219</v>
      </c>
      <c r="E18">
        <f>129+97</f>
        <v>226</v>
      </c>
      <c r="F18" s="53">
        <f t="shared" si="1"/>
        <v>0.11160493827160493</v>
      </c>
      <c r="G18">
        <f>68.18*F18</f>
        <v>7.6092246913580253</v>
      </c>
      <c r="J18" t="s">
        <v>236</v>
      </c>
      <c r="L18" s="53">
        <v>0.16</v>
      </c>
      <c r="M18">
        <f>59*L18</f>
        <v>9.44</v>
      </c>
    </row>
    <row r="19" spans="3:13" x14ac:dyDescent="0.25">
      <c r="D19" t="s">
        <v>220</v>
      </c>
      <c r="E19">
        <f>SUM(E10:E18)</f>
        <v>2025</v>
      </c>
      <c r="G19">
        <f>SUM(G10:G18)</f>
        <v>65.737609876543203</v>
      </c>
      <c r="J19" t="s">
        <v>237</v>
      </c>
      <c r="L19" s="53">
        <v>0.21</v>
      </c>
      <c r="M19">
        <f>49.16*L19</f>
        <v>10.323599999999999</v>
      </c>
    </row>
    <row r="20" spans="3:13" x14ac:dyDescent="0.25">
      <c r="J20" t="s">
        <v>238</v>
      </c>
      <c r="L20" s="53">
        <v>0.33</v>
      </c>
      <c r="M20">
        <f>77.17*L20</f>
        <v>25.466100000000001</v>
      </c>
    </row>
    <row r="21" spans="3:13" x14ac:dyDescent="0.25">
      <c r="C21" t="s">
        <v>8</v>
      </c>
      <c r="M21">
        <f>SUM(M17:M20)</f>
        <v>66.715699999999998</v>
      </c>
    </row>
    <row r="22" spans="3:13" x14ac:dyDescent="0.25">
      <c r="C22" t="s">
        <v>100</v>
      </c>
      <c r="D22" t="s">
        <v>101</v>
      </c>
      <c r="E22" t="s">
        <v>104</v>
      </c>
      <c r="F22" t="s">
        <v>105</v>
      </c>
      <c r="G22" t="s">
        <v>117</v>
      </c>
    </row>
    <row r="23" spans="3:13" x14ac:dyDescent="0.25">
      <c r="D23" t="s">
        <v>221</v>
      </c>
      <c r="E23">
        <v>455.81</v>
      </c>
      <c r="F23" s="53">
        <f>E23/$E$28</f>
        <v>0.46998667816001877</v>
      </c>
      <c r="G23">
        <f>41.67*F23</f>
        <v>19.584344878927983</v>
      </c>
    </row>
    <row r="24" spans="3:13" x14ac:dyDescent="0.25">
      <c r="D24" t="s">
        <v>221</v>
      </c>
      <c r="E24">
        <v>177.96600000000001</v>
      </c>
      <c r="F24" s="53">
        <f>E24/$E$28</f>
        <v>0.18350112802576929</v>
      </c>
      <c r="G24">
        <f>41.67*F24</f>
        <v>7.6464920048338065</v>
      </c>
    </row>
    <row r="25" spans="3:13" x14ac:dyDescent="0.25">
      <c r="D25" t="s">
        <v>222</v>
      </c>
      <c r="E25">
        <v>217.34</v>
      </c>
      <c r="F25" s="53">
        <f>E25/$E$28</f>
        <v>0.22409974469910374</v>
      </c>
      <c r="G25">
        <f>60*F25</f>
        <v>13.445984681946225</v>
      </c>
    </row>
    <row r="26" spans="3:13" x14ac:dyDescent="0.25">
      <c r="D26" t="s">
        <v>223</v>
      </c>
      <c r="E26">
        <v>71.090999999999994</v>
      </c>
      <c r="F26" s="53">
        <f>E26/$E$28</f>
        <v>7.3302084063697356E-2</v>
      </c>
      <c r="G26">
        <f>39.89*F26</f>
        <v>2.9240201333008877</v>
      </c>
    </row>
    <row r="27" spans="3:13" x14ac:dyDescent="0.25">
      <c r="D27" t="s">
        <v>171</v>
      </c>
      <c r="E27">
        <v>47.628999999999998</v>
      </c>
      <c r="F27" s="53">
        <f>E27/$E$28</f>
        <v>4.9110365051410747E-2</v>
      </c>
      <c r="G27">
        <f>35.71*F27</f>
        <v>1.7537311359858778</v>
      </c>
    </row>
    <row r="28" spans="3:13" x14ac:dyDescent="0.25">
      <c r="E28">
        <f>SUM(E23:E27)</f>
        <v>969.83600000000013</v>
      </c>
      <c r="G28">
        <f>SUM(G23:G27)</f>
        <v>45.354572834994777</v>
      </c>
    </row>
    <row r="29" spans="3:13" x14ac:dyDescent="0.25">
      <c r="C29" t="s">
        <v>9</v>
      </c>
    </row>
    <row r="30" spans="3:13" x14ac:dyDescent="0.25">
      <c r="C30" t="s">
        <v>100</v>
      </c>
      <c r="D30" t="s">
        <v>101</v>
      </c>
      <c r="E30" t="s">
        <v>104</v>
      </c>
      <c r="F30" t="s">
        <v>105</v>
      </c>
      <c r="G30" t="s">
        <v>117</v>
      </c>
    </row>
    <row r="31" spans="3:13" x14ac:dyDescent="0.25">
      <c r="D31" s="75" t="s">
        <v>224</v>
      </c>
      <c r="E31">
        <v>600</v>
      </c>
      <c r="F31" s="53">
        <f>E31/$E$34</f>
        <v>0.7142857142857143</v>
      </c>
      <c r="G31">
        <f>70*F31</f>
        <v>50</v>
      </c>
    </row>
    <row r="32" spans="3:13" x14ac:dyDescent="0.25">
      <c r="D32" t="s">
        <v>225</v>
      </c>
      <c r="E32">
        <v>150</v>
      </c>
      <c r="F32" s="53">
        <f>E32/$E$34</f>
        <v>0.17857142857142858</v>
      </c>
      <c r="G32">
        <f>81*F32</f>
        <v>14.464285714285715</v>
      </c>
    </row>
    <row r="33" spans="4:7" x14ac:dyDescent="0.25">
      <c r="D33" t="s">
        <v>226</v>
      </c>
      <c r="E33">
        <v>90</v>
      </c>
      <c r="F33" s="53">
        <f>E33/$E$34</f>
        <v>0.10714285714285714</v>
      </c>
      <c r="G33">
        <f>83*F33</f>
        <v>8.8928571428571423</v>
      </c>
    </row>
    <row r="34" spans="4:7" x14ac:dyDescent="0.25">
      <c r="D34" t="s">
        <v>220</v>
      </c>
      <c r="E34">
        <f>SUM(E31:E33)</f>
        <v>840</v>
      </c>
      <c r="G34">
        <f>SUM(G31:G33)</f>
        <v>73.357142857142861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63D5C-5375-4CD8-A9C4-9FB6E18CF49C}">
  <sheetPr codeName="Sheet20">
    <tabColor theme="7"/>
  </sheetPr>
  <dimension ref="A1:M29"/>
  <sheetViews>
    <sheetView workbookViewId="0">
      <selection activeCell="L8" sqref="L8"/>
    </sheetView>
  </sheetViews>
  <sheetFormatPr defaultRowHeight="15" x14ac:dyDescent="0.25"/>
  <cols>
    <col min="1" max="1" width="20.28515625" bestFit="1" customWidth="1"/>
    <col min="3" max="3" width="15" bestFit="1" customWidth="1"/>
    <col min="4" max="4" width="11.85546875" bestFit="1" customWidth="1"/>
    <col min="5" max="5" width="13.7109375" bestFit="1" customWidth="1"/>
    <col min="6" max="6" width="10.140625" bestFit="1" customWidth="1"/>
    <col min="7" max="7" width="13.5703125" bestFit="1" customWidth="1"/>
    <col min="9" max="9" width="10.85546875" bestFit="1" customWidth="1"/>
    <col min="10" max="10" width="11.85546875" bestFit="1" customWidth="1"/>
  </cols>
  <sheetData>
    <row r="1" spans="1:13" x14ac:dyDescent="0.25">
      <c r="A1" s="1" t="s">
        <v>30</v>
      </c>
    </row>
    <row r="2" spans="1:13" x14ac:dyDescent="0.25">
      <c r="A2" s="1" t="s">
        <v>24</v>
      </c>
      <c r="C2" t="s">
        <v>30</v>
      </c>
      <c r="I2" t="s">
        <v>28</v>
      </c>
    </row>
    <row r="3" spans="1:13" x14ac:dyDescent="0.25">
      <c r="A3" s="1"/>
      <c r="C3" t="s">
        <v>100</v>
      </c>
      <c r="D3" t="s">
        <v>101</v>
      </c>
      <c r="E3" t="s">
        <v>104</v>
      </c>
      <c r="F3" t="s">
        <v>105</v>
      </c>
      <c r="G3" t="s">
        <v>117</v>
      </c>
      <c r="I3" t="s">
        <v>100</v>
      </c>
      <c r="J3" t="s">
        <v>101</v>
      </c>
      <c r="K3" t="s">
        <v>104</v>
      </c>
      <c r="L3" t="s">
        <v>105</v>
      </c>
      <c r="M3" t="s">
        <v>117</v>
      </c>
    </row>
    <row r="4" spans="1:13" x14ac:dyDescent="0.25">
      <c r="A4" s="1" t="s">
        <v>25</v>
      </c>
      <c r="D4" t="s">
        <v>239</v>
      </c>
      <c r="E4" s="53">
        <v>1</v>
      </c>
      <c r="G4">
        <v>70</v>
      </c>
      <c r="J4" t="s">
        <v>244</v>
      </c>
      <c r="K4">
        <f>240+105+140+195</f>
        <v>680</v>
      </c>
      <c r="L4" s="53">
        <f>K4/$K$6</f>
        <v>0.65071770334928225</v>
      </c>
      <c r="M4">
        <f>65*L4</f>
        <v>42.296650717703344</v>
      </c>
    </row>
    <row r="5" spans="1:13" x14ac:dyDescent="0.25">
      <c r="A5" s="1" t="s">
        <v>26</v>
      </c>
      <c r="J5" t="s">
        <v>247</v>
      </c>
      <c r="K5">
        <f>245+120</f>
        <v>365</v>
      </c>
      <c r="L5" s="53">
        <f>K5/$K$6</f>
        <v>0.34928229665071769</v>
      </c>
      <c r="M5">
        <f>60*L5</f>
        <v>20.956937799043061</v>
      </c>
    </row>
    <row r="6" spans="1:13" x14ac:dyDescent="0.25">
      <c r="A6" s="1" t="s">
        <v>27</v>
      </c>
      <c r="C6" t="s">
        <v>240</v>
      </c>
      <c r="K6">
        <f>SUM(K4:K5)</f>
        <v>1045</v>
      </c>
      <c r="M6">
        <f>SUM(M4:M5)</f>
        <v>63.253588516746404</v>
      </c>
    </row>
    <row r="7" spans="1:13" x14ac:dyDescent="0.25">
      <c r="A7" s="1" t="s">
        <v>28</v>
      </c>
      <c r="C7" t="s">
        <v>100</v>
      </c>
      <c r="D7" t="s">
        <v>101</v>
      </c>
      <c r="E7" t="s">
        <v>104</v>
      </c>
      <c r="F7" t="s">
        <v>105</v>
      </c>
      <c r="G7" t="s">
        <v>117</v>
      </c>
    </row>
    <row r="8" spans="1:13" x14ac:dyDescent="0.25">
      <c r="A8" s="1" t="s">
        <v>29</v>
      </c>
      <c r="D8" t="s">
        <v>103</v>
      </c>
      <c r="E8">
        <v>113.94</v>
      </c>
      <c r="F8" s="53">
        <f>E8/$E$11</f>
        <v>0.28828783240138656</v>
      </c>
      <c r="G8">
        <f>73.44*F8</f>
        <v>21.171858411557828</v>
      </c>
      <c r="I8" t="s">
        <v>248</v>
      </c>
    </row>
    <row r="9" spans="1:13" x14ac:dyDescent="0.25">
      <c r="D9" t="s">
        <v>241</v>
      </c>
      <c r="E9">
        <f>140.214+103.676</f>
        <v>243.89</v>
      </c>
      <c r="F9" s="53">
        <f>E9/$E$11</f>
        <v>0.6170837234015637</v>
      </c>
      <c r="G9">
        <f>83*F9</f>
        <v>51.217949042329785</v>
      </c>
      <c r="I9" t="s">
        <v>100</v>
      </c>
      <c r="J9" t="s">
        <v>101</v>
      </c>
      <c r="K9" t="s">
        <v>104</v>
      </c>
      <c r="L9" t="s">
        <v>105</v>
      </c>
      <c r="M9" t="s">
        <v>117</v>
      </c>
    </row>
    <row r="10" spans="1:13" x14ac:dyDescent="0.25">
      <c r="D10" t="s">
        <v>242</v>
      </c>
      <c r="E10">
        <f>37.4</f>
        <v>37.4</v>
      </c>
      <c r="F10" s="53">
        <f>E10/$E$11</f>
        <v>9.4628444197049827E-2</v>
      </c>
      <c r="G10">
        <f>65*F10</f>
        <v>6.1508488728082389</v>
      </c>
      <c r="J10" t="s">
        <v>115</v>
      </c>
      <c r="L10" s="53">
        <v>1</v>
      </c>
      <c r="M10">
        <v>67.239999999999995</v>
      </c>
    </row>
    <row r="11" spans="1:13" x14ac:dyDescent="0.25">
      <c r="E11">
        <f>SUM(E8:E10)</f>
        <v>395.22999999999996</v>
      </c>
      <c r="G11">
        <f>SUM(G8:G10)</f>
        <v>78.540656326695853</v>
      </c>
    </row>
    <row r="13" spans="1:13" x14ac:dyDescent="0.25">
      <c r="C13" t="s">
        <v>243</v>
      </c>
    </row>
    <row r="14" spans="1:13" x14ac:dyDescent="0.25">
      <c r="C14" t="s">
        <v>100</v>
      </c>
      <c r="D14" t="s">
        <v>101</v>
      </c>
      <c r="E14" t="s">
        <v>104</v>
      </c>
      <c r="F14" t="s">
        <v>105</v>
      </c>
      <c r="G14" t="s">
        <v>117</v>
      </c>
    </row>
    <row r="15" spans="1:13" x14ac:dyDescent="0.25">
      <c r="D15" t="s">
        <v>196</v>
      </c>
      <c r="E15">
        <f>AVERAGE(265,245)</f>
        <v>255</v>
      </c>
      <c r="F15" s="53">
        <f>E15/$E$18</f>
        <v>0.34931506849315069</v>
      </c>
      <c r="G15">
        <f>70*F15</f>
        <v>24.452054794520549</v>
      </c>
    </row>
    <row r="16" spans="1:13" x14ac:dyDescent="0.25">
      <c r="D16" t="s">
        <v>244</v>
      </c>
      <c r="E16">
        <f>AVERAGE(365,385)</f>
        <v>375</v>
      </c>
      <c r="F16" s="53">
        <f>E16/$E$18</f>
        <v>0.51369863013698636</v>
      </c>
      <c r="G16">
        <f>65*F16</f>
        <v>33.390410958904113</v>
      </c>
    </row>
    <row r="17" spans="3:7" x14ac:dyDescent="0.25">
      <c r="D17" t="s">
        <v>103</v>
      </c>
      <c r="E17">
        <f>AVERAGE(90,110)</f>
        <v>100</v>
      </c>
      <c r="F17" s="53">
        <f>E17/$E$18</f>
        <v>0.13698630136986301</v>
      </c>
      <c r="G17">
        <f>73.44*F17</f>
        <v>10.060273972602738</v>
      </c>
    </row>
    <row r="18" spans="3:7" x14ac:dyDescent="0.25">
      <c r="E18">
        <f>SUM(E15:E17)</f>
        <v>730</v>
      </c>
      <c r="G18">
        <f>SUM(G15:G17)</f>
        <v>67.902739726027406</v>
      </c>
    </row>
    <row r="20" spans="3:7" x14ac:dyDescent="0.25">
      <c r="C20" t="s">
        <v>245</v>
      </c>
    </row>
    <row r="21" spans="3:7" x14ac:dyDescent="0.25">
      <c r="C21" t="s">
        <v>100</v>
      </c>
      <c r="D21" t="s">
        <v>101</v>
      </c>
      <c r="E21" t="s">
        <v>104</v>
      </c>
      <c r="F21" t="s">
        <v>105</v>
      </c>
      <c r="G21" t="s">
        <v>117</v>
      </c>
    </row>
    <row r="22" spans="3:7" x14ac:dyDescent="0.25">
      <c r="D22" t="s">
        <v>246</v>
      </c>
      <c r="F22" s="53">
        <v>1</v>
      </c>
      <c r="G22">
        <v>61.54</v>
      </c>
    </row>
    <row r="24" spans="3:7" x14ac:dyDescent="0.25">
      <c r="C24" t="s">
        <v>27</v>
      </c>
    </row>
    <row r="25" spans="3:7" x14ac:dyDescent="0.25">
      <c r="C25" t="s">
        <v>100</v>
      </c>
      <c r="D25" t="s">
        <v>101</v>
      </c>
      <c r="E25" t="s">
        <v>104</v>
      </c>
      <c r="F25" t="s">
        <v>105</v>
      </c>
      <c r="G25" t="s">
        <v>117</v>
      </c>
    </row>
    <row r="26" spans="3:7" x14ac:dyDescent="0.25">
      <c r="D26" t="s">
        <v>208</v>
      </c>
      <c r="E26">
        <v>220.227</v>
      </c>
      <c r="F26" s="53">
        <f>E26/$E$29</f>
        <v>0.51818117647058826</v>
      </c>
      <c r="G26">
        <f>82.56*F26</f>
        <v>42.781037929411767</v>
      </c>
    </row>
    <row r="27" spans="3:7" x14ac:dyDescent="0.25">
      <c r="D27" t="s">
        <v>207</v>
      </c>
      <c r="E27">
        <v>112.137</v>
      </c>
      <c r="F27" s="53">
        <f>E27/$E$29</f>
        <v>0.26385176470588234</v>
      </c>
      <c r="G27">
        <f>76.09*F27</f>
        <v>20.076480776470589</v>
      </c>
    </row>
    <row r="28" spans="3:7" x14ac:dyDescent="0.25">
      <c r="D28" t="s">
        <v>217</v>
      </c>
      <c r="E28">
        <f>425-E26-E27</f>
        <v>92.635999999999996</v>
      </c>
      <c r="F28" s="53">
        <f>E28/$E$29</f>
        <v>0.2179670588235294</v>
      </c>
      <c r="G28">
        <f>49.16*F28</f>
        <v>10.715260611764705</v>
      </c>
    </row>
    <row r="29" spans="3:7" x14ac:dyDescent="0.25">
      <c r="E29">
        <f>SUM(E26:E28)</f>
        <v>425</v>
      </c>
      <c r="G29">
        <f>SUM(G26:G28)</f>
        <v>73.572779317647061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0CA4-FB44-430D-93D9-420957E9E5E1}">
  <sheetPr codeName="Sheet21">
    <tabColor theme="7"/>
  </sheetPr>
  <dimension ref="A1:O31"/>
  <sheetViews>
    <sheetView workbookViewId="0">
      <selection activeCell="L8" sqref="L8"/>
    </sheetView>
  </sheetViews>
  <sheetFormatPr defaultRowHeight="15" x14ac:dyDescent="0.25"/>
  <cols>
    <col min="1" max="1" width="24.42578125" bestFit="1" customWidth="1"/>
    <col min="4" max="4" width="22.85546875" bestFit="1" customWidth="1"/>
    <col min="5" max="5" width="8.42578125" bestFit="1" customWidth="1"/>
    <col min="6" max="6" width="13.7109375" bestFit="1" customWidth="1"/>
    <col min="7" max="7" width="10.140625" bestFit="1" customWidth="1"/>
    <col min="8" max="8" width="13.5703125" bestFit="1" customWidth="1"/>
    <col min="11" max="11" width="10.85546875" bestFit="1" customWidth="1"/>
    <col min="13" max="13" width="13.7109375" bestFit="1" customWidth="1"/>
    <col min="14" max="14" width="10.140625" bestFit="1" customWidth="1"/>
  </cols>
  <sheetData>
    <row r="1" spans="1:15" x14ac:dyDescent="0.25">
      <c r="A1" s="1" t="s">
        <v>36</v>
      </c>
      <c r="D1" s="1" t="s">
        <v>36</v>
      </c>
      <c r="K1" t="s">
        <v>255</v>
      </c>
    </row>
    <row r="2" spans="1:15" x14ac:dyDescent="0.25">
      <c r="A2" s="1" t="s">
        <v>33</v>
      </c>
      <c r="D2" t="s">
        <v>100</v>
      </c>
      <c r="E2" t="s">
        <v>101</v>
      </c>
      <c r="F2" t="s">
        <v>104</v>
      </c>
      <c r="G2" t="s">
        <v>105</v>
      </c>
      <c r="H2" t="s">
        <v>117</v>
      </c>
      <c r="K2" t="s">
        <v>100</v>
      </c>
      <c r="L2" t="s">
        <v>101</v>
      </c>
      <c r="M2" t="s">
        <v>104</v>
      </c>
      <c r="N2" t="s">
        <v>105</v>
      </c>
      <c r="O2" t="s">
        <v>117</v>
      </c>
    </row>
    <row r="3" spans="1:15" x14ac:dyDescent="0.25">
      <c r="A3" s="1" t="s">
        <v>40</v>
      </c>
      <c r="E3" t="s">
        <v>249</v>
      </c>
      <c r="F3">
        <f>AVERAGE(163,184)</f>
        <v>173.5</v>
      </c>
      <c r="G3" s="53">
        <f>F3/$F$5</f>
        <v>0.62522522522522528</v>
      </c>
      <c r="H3">
        <f>70*G3</f>
        <v>43.765765765765771</v>
      </c>
      <c r="L3" t="s">
        <v>256</v>
      </c>
      <c r="M3">
        <f>241</f>
        <v>241</v>
      </c>
      <c r="N3" s="53">
        <f>M3/$M$5</f>
        <v>0.83537845070227246</v>
      </c>
      <c r="O3">
        <f>70*N3</f>
        <v>58.476491549159071</v>
      </c>
    </row>
    <row r="4" spans="1:15" x14ac:dyDescent="0.25">
      <c r="A4" s="1" t="s">
        <v>34</v>
      </c>
      <c r="E4" t="s">
        <v>223</v>
      </c>
      <c r="F4">
        <f>AVERAGE(94,114)</f>
        <v>104</v>
      </c>
      <c r="G4" s="53">
        <f>F4/$F$5</f>
        <v>0.37477477477477478</v>
      </c>
      <c r="H4">
        <f>38.89*G4</f>
        <v>14.574990990990992</v>
      </c>
      <c r="L4" t="s">
        <v>257</v>
      </c>
      <c r="M4">
        <v>47.491999999999997</v>
      </c>
      <c r="N4" s="53">
        <f>M4/$M$5</f>
        <v>0.16462154929772746</v>
      </c>
      <c r="O4">
        <f>65*N4</f>
        <v>10.700400704352285</v>
      </c>
    </row>
    <row r="5" spans="1:15" x14ac:dyDescent="0.25">
      <c r="A5" s="1" t="s">
        <v>35</v>
      </c>
      <c r="F5">
        <f>SUM(F3:F4)</f>
        <v>277.5</v>
      </c>
      <c r="H5">
        <f>SUM(H3:H4)</f>
        <v>58.340756756756761</v>
      </c>
      <c r="M5">
        <f>SUM(M3:M4)</f>
        <v>288.49200000000002</v>
      </c>
      <c r="O5">
        <f>SUM(O3:O4)</f>
        <v>69.176892253511355</v>
      </c>
    </row>
    <row r="6" spans="1:15" x14ac:dyDescent="0.25">
      <c r="A6" s="1" t="s">
        <v>37</v>
      </c>
    </row>
    <row r="7" spans="1:15" x14ac:dyDescent="0.25">
      <c r="A7" s="1"/>
      <c r="D7" t="s">
        <v>250</v>
      </c>
      <c r="K7" t="s">
        <v>258</v>
      </c>
    </row>
    <row r="8" spans="1:15" x14ac:dyDescent="0.25">
      <c r="A8" s="1" t="s">
        <v>38</v>
      </c>
      <c r="D8" t="s">
        <v>100</v>
      </c>
      <c r="E8" t="s">
        <v>101</v>
      </c>
      <c r="F8" t="s">
        <v>104</v>
      </c>
      <c r="G8" t="s">
        <v>105</v>
      </c>
      <c r="H8" t="s">
        <v>117</v>
      </c>
      <c r="K8" t="s">
        <v>100</v>
      </c>
      <c r="L8" t="s">
        <v>101</v>
      </c>
      <c r="M8" t="s">
        <v>104</v>
      </c>
      <c r="N8" t="s">
        <v>105</v>
      </c>
      <c r="O8" t="s">
        <v>117</v>
      </c>
    </row>
    <row r="9" spans="1:15" x14ac:dyDescent="0.25">
      <c r="A9" s="1" t="s">
        <v>41</v>
      </c>
      <c r="E9" t="s">
        <v>218</v>
      </c>
      <c r="G9" s="53">
        <v>0.5</v>
      </c>
      <c r="H9">
        <f>59*G9</f>
        <v>29.5</v>
      </c>
      <c r="L9" t="s">
        <v>259</v>
      </c>
      <c r="N9" s="53">
        <v>1</v>
      </c>
      <c r="O9">
        <v>77.27</v>
      </c>
    </row>
    <row r="10" spans="1:15" x14ac:dyDescent="0.25">
      <c r="A10" s="1" t="s">
        <v>39</v>
      </c>
      <c r="E10" t="s">
        <v>115</v>
      </c>
      <c r="G10" s="53">
        <v>0.5</v>
      </c>
      <c r="H10">
        <f>67.24*G10</f>
        <v>33.619999999999997</v>
      </c>
    </row>
    <row r="11" spans="1:15" x14ac:dyDescent="0.25">
      <c r="A11" s="1" t="s">
        <v>42</v>
      </c>
      <c r="H11">
        <f>SUM(H9:H10)</f>
        <v>63.12</v>
      </c>
      <c r="K11" t="s">
        <v>260</v>
      </c>
    </row>
    <row r="12" spans="1:15" x14ac:dyDescent="0.25">
      <c r="A12" s="1" t="s">
        <v>43</v>
      </c>
      <c r="D12" t="s">
        <v>40</v>
      </c>
      <c r="K12" t="s">
        <v>100</v>
      </c>
      <c r="L12" t="s">
        <v>101</v>
      </c>
      <c r="M12" t="s">
        <v>104</v>
      </c>
      <c r="N12" t="s">
        <v>105</v>
      </c>
      <c r="O12" t="s">
        <v>117</v>
      </c>
    </row>
    <row r="13" spans="1:15" x14ac:dyDescent="0.25">
      <c r="D13" t="s">
        <v>100</v>
      </c>
      <c r="E13" t="s">
        <v>101</v>
      </c>
      <c r="F13" t="s">
        <v>104</v>
      </c>
      <c r="G13" t="s">
        <v>105</v>
      </c>
      <c r="H13" t="s">
        <v>117</v>
      </c>
      <c r="L13" t="s">
        <v>261</v>
      </c>
      <c r="N13" s="53">
        <v>1</v>
      </c>
      <c r="O13">
        <v>75</v>
      </c>
    </row>
    <row r="14" spans="1:15" x14ac:dyDescent="0.25">
      <c r="E14" t="s">
        <v>167</v>
      </c>
      <c r="G14" s="53">
        <v>1</v>
      </c>
      <c r="H14">
        <v>77.17</v>
      </c>
    </row>
    <row r="15" spans="1:15" x14ac:dyDescent="0.25">
      <c r="K15" t="s">
        <v>262</v>
      </c>
    </row>
    <row r="16" spans="1:15" x14ac:dyDescent="0.25">
      <c r="D16" t="s">
        <v>34</v>
      </c>
      <c r="K16" t="s">
        <v>100</v>
      </c>
      <c r="L16" t="s">
        <v>101</v>
      </c>
      <c r="M16" t="s">
        <v>104</v>
      </c>
      <c r="N16" t="s">
        <v>105</v>
      </c>
      <c r="O16" t="s">
        <v>117</v>
      </c>
    </row>
    <row r="17" spans="4:15" x14ac:dyDescent="0.25">
      <c r="D17" t="s">
        <v>100</v>
      </c>
      <c r="E17" t="s">
        <v>101</v>
      </c>
      <c r="F17" t="s">
        <v>104</v>
      </c>
      <c r="G17" t="s">
        <v>105</v>
      </c>
      <c r="H17" t="s">
        <v>117</v>
      </c>
      <c r="L17" t="s">
        <v>238</v>
      </c>
      <c r="N17" s="53">
        <v>1</v>
      </c>
      <c r="O17">
        <v>77.17</v>
      </c>
    </row>
    <row r="18" spans="4:15" x14ac:dyDescent="0.25">
      <c r="E18" t="s">
        <v>251</v>
      </c>
      <c r="G18" s="53">
        <v>1</v>
      </c>
      <c r="H18">
        <v>65</v>
      </c>
    </row>
    <row r="20" spans="4:15" x14ac:dyDescent="0.25">
      <c r="D20" t="s">
        <v>252</v>
      </c>
    </row>
    <row r="21" spans="4:15" x14ac:dyDescent="0.25">
      <c r="D21" t="s">
        <v>100</v>
      </c>
      <c r="E21" t="s">
        <v>101</v>
      </c>
      <c r="F21" t="s">
        <v>104</v>
      </c>
      <c r="G21" t="s">
        <v>105</v>
      </c>
      <c r="H21" t="s">
        <v>117</v>
      </c>
    </row>
    <row r="22" spans="4:15" x14ac:dyDescent="0.25">
      <c r="E22" t="s">
        <v>167</v>
      </c>
      <c r="F22">
        <v>36</v>
      </c>
      <c r="G22" s="53">
        <f>F22/$F$26</f>
        <v>0.21951219512195122</v>
      </c>
      <c r="H22">
        <f>77.17*G22</f>
        <v>16.939756097560977</v>
      </c>
    </row>
    <row r="23" spans="4:15" x14ac:dyDescent="0.25">
      <c r="E23" t="s">
        <v>119</v>
      </c>
      <c r="F23">
        <v>60</v>
      </c>
      <c r="G23" s="53">
        <f>F23/$F$26</f>
        <v>0.36585365853658536</v>
      </c>
      <c r="H23">
        <f>82.56*G23</f>
        <v>30.204878048780486</v>
      </c>
    </row>
    <row r="24" spans="4:15" x14ac:dyDescent="0.25">
      <c r="E24" t="s">
        <v>217</v>
      </c>
      <c r="F24">
        <v>52</v>
      </c>
      <c r="G24" s="53">
        <f>F24/$F$26</f>
        <v>0.31707317073170732</v>
      </c>
      <c r="H24">
        <f>49.16*G24</f>
        <v>15.58731707317073</v>
      </c>
    </row>
    <row r="25" spans="4:15" x14ac:dyDescent="0.25">
      <c r="E25" t="s">
        <v>253</v>
      </c>
      <c r="F25">
        <v>16</v>
      </c>
      <c r="G25" s="53">
        <f>F25/$F$26</f>
        <v>9.7560975609756101E-2</v>
      </c>
      <c r="H25">
        <f>67.24*G25</f>
        <v>6.56</v>
      </c>
    </row>
    <row r="26" spans="4:15" x14ac:dyDescent="0.25">
      <c r="F26">
        <f>SUM(F22:F25)</f>
        <v>164</v>
      </c>
      <c r="H26">
        <f>SUM(H22:H25)</f>
        <v>69.291951219512185</v>
      </c>
    </row>
    <row r="27" spans="4:15" x14ac:dyDescent="0.25">
      <c r="D27" t="s">
        <v>254</v>
      </c>
    </row>
    <row r="28" spans="4:15" x14ac:dyDescent="0.25">
      <c r="D28" t="s">
        <v>100</v>
      </c>
      <c r="E28" t="s">
        <v>101</v>
      </c>
      <c r="F28" t="s">
        <v>104</v>
      </c>
      <c r="G28" t="s">
        <v>105</v>
      </c>
      <c r="H28" t="s">
        <v>117</v>
      </c>
    </row>
    <row r="29" spans="4:15" x14ac:dyDescent="0.25">
      <c r="E29" t="s">
        <v>167</v>
      </c>
      <c r="F29">
        <v>250</v>
      </c>
      <c r="G29" s="53">
        <f>F29/$F$31</f>
        <v>0.51546391752577314</v>
      </c>
      <c r="H29">
        <f>77.17*G29</f>
        <v>39.778350515463913</v>
      </c>
    </row>
    <row r="30" spans="4:15" x14ac:dyDescent="0.25">
      <c r="E30" t="s">
        <v>225</v>
      </c>
      <c r="F30">
        <f>AVERAGE(220,250)</f>
        <v>235</v>
      </c>
      <c r="G30" s="53">
        <f>F30/$F$31</f>
        <v>0.4845360824742268</v>
      </c>
      <c r="H30">
        <f>81.25*G30</f>
        <v>39.368556701030926</v>
      </c>
    </row>
    <row r="31" spans="4:15" x14ac:dyDescent="0.25">
      <c r="F31">
        <f>SUM(F29:F30)</f>
        <v>485</v>
      </c>
      <c r="H31">
        <f>SUM(H29:H30)</f>
        <v>79.146907216494839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564A0-BB05-41F3-8CE7-8E9D8B77793D}">
  <sheetPr codeName="Sheet22">
    <tabColor theme="6" tint="-0.249977111117893"/>
  </sheetPr>
  <dimension ref="B2:F21"/>
  <sheetViews>
    <sheetView workbookViewId="0">
      <selection activeCell="L8" sqref="L8"/>
    </sheetView>
  </sheetViews>
  <sheetFormatPr defaultRowHeight="15" x14ac:dyDescent="0.25"/>
  <cols>
    <col min="2" max="2" width="15.85546875" bestFit="1" customWidth="1"/>
    <col min="3" max="3" width="15.7109375" bestFit="1" customWidth="1"/>
    <col min="4" max="4" width="19.5703125" bestFit="1" customWidth="1"/>
    <col min="5" max="5" width="22" bestFit="1" customWidth="1"/>
    <col min="6" max="6" width="22.140625" bestFit="1" customWidth="1"/>
    <col min="7" max="7" width="24.5703125" bestFit="1" customWidth="1"/>
    <col min="8" max="8" width="22" bestFit="1" customWidth="1"/>
    <col min="9" max="9" width="23.42578125" bestFit="1" customWidth="1"/>
    <col min="10" max="10" width="23.5703125" bestFit="1" customWidth="1"/>
  </cols>
  <sheetData>
    <row r="2" spans="2:6" x14ac:dyDescent="0.25">
      <c r="B2" s="55" t="s">
        <v>95</v>
      </c>
      <c r="C2" t="s">
        <v>152</v>
      </c>
      <c r="D2" t="s">
        <v>153</v>
      </c>
      <c r="E2" t="s">
        <v>154</v>
      </c>
      <c r="F2" t="s">
        <v>155</v>
      </c>
    </row>
    <row r="3" spans="2:6" x14ac:dyDescent="0.25">
      <c r="B3" t="s">
        <v>96</v>
      </c>
      <c r="C3" s="46">
        <v>2.8475247945914219</v>
      </c>
      <c r="D3" s="46">
        <v>1.4071143132648956</v>
      </c>
      <c r="E3" s="46">
        <v>0.62157194047722997</v>
      </c>
      <c r="F3" s="46">
        <v>0.34615030771044131</v>
      </c>
    </row>
    <row r="4" spans="2:6" x14ac:dyDescent="0.25">
      <c r="B4" t="s">
        <v>97</v>
      </c>
      <c r="C4" s="46">
        <v>2.1702597155190819</v>
      </c>
      <c r="D4" s="46">
        <v>0.6126998449693255</v>
      </c>
      <c r="E4" s="46">
        <v>0.6511094240093428</v>
      </c>
      <c r="F4" s="46">
        <v>0.36143145124751797</v>
      </c>
    </row>
    <row r="5" spans="2:6" x14ac:dyDescent="0.25">
      <c r="B5" t="s">
        <v>99</v>
      </c>
      <c r="C5" s="46">
        <v>1.0224810386062764</v>
      </c>
      <c r="D5" s="46">
        <v>0.4689472957214374</v>
      </c>
      <c r="E5" s="46">
        <v>0.5616893556180782</v>
      </c>
      <c r="F5" s="46">
        <v>0.39479641170402996</v>
      </c>
    </row>
    <row r="6" spans="2:6" x14ac:dyDescent="0.25">
      <c r="B6" t="s">
        <v>98</v>
      </c>
      <c r="C6" s="46">
        <v>3.4133044132633117</v>
      </c>
      <c r="D6" s="46">
        <v>2.0134366655629536</v>
      </c>
      <c r="E6" s="46">
        <v>0.63990316969944749</v>
      </c>
      <c r="F6" s="46">
        <v>0.33228670434155766</v>
      </c>
    </row>
    <row r="7" spans="2:6" x14ac:dyDescent="0.25">
      <c r="B7" t="s">
        <v>151</v>
      </c>
      <c r="C7" s="46">
        <v>2.1912890779481597</v>
      </c>
      <c r="D7" s="46">
        <v>1.038206899905683</v>
      </c>
      <c r="E7" s="46">
        <v>0.61429114496108528</v>
      </c>
      <c r="F7" s="46">
        <v>0.3632669911971047</v>
      </c>
    </row>
    <row r="10" spans="2:6" x14ac:dyDescent="0.25">
      <c r="B10" s="55" t="s">
        <v>75</v>
      </c>
      <c r="C10" s="55" t="s">
        <v>95</v>
      </c>
      <c r="D10" t="s">
        <v>156</v>
      </c>
    </row>
    <row r="11" spans="2:6" x14ac:dyDescent="0.25">
      <c r="B11" t="s">
        <v>122</v>
      </c>
      <c r="D11" s="59">
        <v>1.5386597938144331</v>
      </c>
    </row>
    <row r="12" spans="2:6" x14ac:dyDescent="0.25">
      <c r="C12" t="s">
        <v>96</v>
      </c>
      <c r="D12" s="59">
        <v>1.5386597938144331</v>
      </c>
    </row>
    <row r="13" spans="2:6" x14ac:dyDescent="0.25">
      <c r="B13" t="s">
        <v>126</v>
      </c>
      <c r="D13" s="59">
        <v>2.8985690235690234</v>
      </c>
    </row>
    <row r="14" spans="2:6" x14ac:dyDescent="0.25">
      <c r="C14" t="s">
        <v>96</v>
      </c>
      <c r="D14" s="59">
        <v>2.8985690235690234</v>
      </c>
    </row>
    <row r="15" spans="2:6" x14ac:dyDescent="0.25">
      <c r="B15" t="s">
        <v>132</v>
      </c>
      <c r="D15" s="59">
        <v>5.2641509433962268</v>
      </c>
    </row>
    <row r="16" spans="2:6" x14ac:dyDescent="0.25">
      <c r="C16" t="s">
        <v>96</v>
      </c>
      <c r="D16" s="59">
        <v>5.2641509433962268</v>
      </c>
    </row>
    <row r="17" spans="2:4" x14ac:dyDescent="0.25">
      <c r="B17" t="s">
        <v>137</v>
      </c>
      <c r="D17" s="59">
        <v>1.9064748201438848</v>
      </c>
    </row>
    <row r="18" spans="2:4" x14ac:dyDescent="0.25">
      <c r="C18" t="s">
        <v>96</v>
      </c>
      <c r="D18" s="59">
        <v>1.9064748201438848</v>
      </c>
    </row>
    <row r="19" spans="2:4" x14ac:dyDescent="0.25">
      <c r="B19" t="s">
        <v>141</v>
      </c>
      <c r="D19" s="59">
        <v>2.629769392033543</v>
      </c>
    </row>
    <row r="20" spans="2:4" x14ac:dyDescent="0.25">
      <c r="C20" t="s">
        <v>96</v>
      </c>
      <c r="D20" s="59">
        <v>2.629769392033543</v>
      </c>
    </row>
    <row r="21" spans="2:4" x14ac:dyDescent="0.25">
      <c r="B21" t="s">
        <v>151</v>
      </c>
      <c r="D21" s="59">
        <v>14.237623972957111</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vt:i4>
      </vt:variant>
    </vt:vector>
  </HeadingPairs>
  <TitlesOfParts>
    <vt:vector size="25" baseType="lpstr">
      <vt:lpstr>Instructions</vt:lpstr>
      <vt:lpstr>1) Balance Sheet Metrics</vt:lpstr>
      <vt:lpstr>2) Estimated OPsCashflow</vt:lpstr>
      <vt:lpstr>3) Profitability</vt:lpstr>
      <vt:lpstr>4) Reserve &amp; Risk</vt:lpstr>
      <vt:lpstr>Summary Tables</vt:lpstr>
      <vt:lpstr>Balance Sheet Metrics</vt:lpstr>
      <vt:lpstr>2020 Ops</vt:lpstr>
      <vt:lpstr>Profitability</vt:lpstr>
      <vt:lpstr>Reserve &amp; Risk Rating</vt:lpstr>
      <vt:lpstr>DS Tables</vt:lpstr>
      <vt:lpstr>Production &amp; FA</vt:lpstr>
      <vt:lpstr>Dataset</vt:lpstr>
      <vt:lpstr>Gold Quotes</vt:lpstr>
      <vt:lpstr>Tableau</vt:lpstr>
      <vt:lpstr>Vlookup</vt:lpstr>
      <vt:lpstr>Database (IGNORE)</vt:lpstr>
      <vt:lpstr>Gold NAV &amp; Risk</vt:lpstr>
      <vt:lpstr>Mid Risk</vt:lpstr>
      <vt:lpstr>Small Senior Risk</vt:lpstr>
      <vt:lpstr>Junior Risk</vt:lpstr>
      <vt:lpstr>Pivot</vt:lpstr>
      <vt:lpstr>'1) Balance Sheet Metrics'!Criteria</vt:lpstr>
      <vt:lpstr>POWER_USER_EXCEL_CHART_DDF3ABCE_737E_4C3D_97FC_12773E9C1B1C</vt:lpstr>
      <vt:lpstr>POWER_USER_EXCEL_CHART_F8EC9919_E6ED_47E8_BD89_1B6CC1DFC0C6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 Agwunobi</dc:creator>
  <cp:lastModifiedBy>Jay Agwunobi</cp:lastModifiedBy>
  <dcterms:created xsi:type="dcterms:W3CDTF">2020-03-25T17:11:07Z</dcterms:created>
  <dcterms:modified xsi:type="dcterms:W3CDTF">2020-04-15T08:30:35Z</dcterms:modified>
</cp:coreProperties>
</file>